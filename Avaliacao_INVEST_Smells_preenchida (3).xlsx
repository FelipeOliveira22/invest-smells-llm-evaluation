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liacao_Humana" sheetId="1" r:id="rId5"/>
    <sheet state="visible" name="ChatGPT_ZeroShot" sheetId="2" r:id="rId6"/>
    <sheet state="visible" name="ChatGPT_FewShot" sheetId="3" r:id="rId7"/>
    <sheet state="visible" name="ChatGPT_CoT" sheetId="4" r:id="rId8"/>
    <sheet state="visible" name="Gemini_ZeroShot" sheetId="5" r:id="rId9"/>
    <sheet state="visible" name="Gemini_FewShot" sheetId="6" r:id="rId10"/>
    <sheet state="visible" name="Gemini_CoT" sheetId="7" r:id="rId11"/>
    <sheet state="visible" name="Claude_ZeroShot" sheetId="8" r:id="rId12"/>
    <sheet state="visible" name="Claude_FewShot" sheetId="9" r:id="rId13"/>
    <sheet state="visible" name="Claude_CoT" sheetId="10" r:id="rId14"/>
    <sheet state="visible" name="Volumetria_Geral" sheetId="11" r:id="rId15"/>
    <sheet state="visible" name="Analise_MAE" sheetId="12" r:id="rId16"/>
    <sheet state="visible" name="Super_Inferencia" sheetId="13" r:id="rId17"/>
    <sheet state="visible" name="Concordancia" sheetId="14" r:id="rId18"/>
  </sheets>
  <definedNames/>
  <calcPr/>
</workbook>
</file>

<file path=xl/sharedStrings.xml><?xml version="1.0" encoding="utf-8"?>
<sst xmlns="http://schemas.openxmlformats.org/spreadsheetml/2006/main" count="1580" uniqueCount="208">
  <si>
    <t>Avaliação de Requirements Smells — Avaliacao Humana</t>
  </si>
  <si>
    <t>HU</t>
  </si>
  <si>
    <t>Descrição</t>
  </si>
  <si>
    <t>I-1</t>
  </si>
  <si>
    <t>I-2</t>
  </si>
  <si>
    <t>I-3</t>
  </si>
  <si>
    <t>I-4</t>
  </si>
  <si>
    <t>I-5</t>
  </si>
  <si>
    <t>I_Count</t>
  </si>
  <si>
    <t>N-1</t>
  </si>
  <si>
    <t>N-2</t>
  </si>
  <si>
    <t>N-3</t>
  </si>
  <si>
    <t>N-4</t>
  </si>
  <si>
    <t>N-5</t>
  </si>
  <si>
    <t>N_Count</t>
  </si>
  <si>
    <t>V-1</t>
  </si>
  <si>
    <t>V-2</t>
  </si>
  <si>
    <t>V-3</t>
  </si>
  <si>
    <t>V-4</t>
  </si>
  <si>
    <t>V-5</t>
  </si>
  <si>
    <t>V_Count</t>
  </si>
  <si>
    <t>E-1</t>
  </si>
  <si>
    <t>E-2</t>
  </si>
  <si>
    <t>E-3</t>
  </si>
  <si>
    <t>E-4</t>
  </si>
  <si>
    <t>E-5</t>
  </si>
  <si>
    <t>E_Count</t>
  </si>
  <si>
    <t>S-1</t>
  </si>
  <si>
    <t>S-2</t>
  </si>
  <si>
    <t>S-3</t>
  </si>
  <si>
    <t>S-4</t>
  </si>
  <si>
    <t>S-5</t>
  </si>
  <si>
    <t>S_Count</t>
  </si>
  <si>
    <t>T-1</t>
  </si>
  <si>
    <t>T-2</t>
  </si>
  <si>
    <t>T-3</t>
  </si>
  <si>
    <t>T-4</t>
  </si>
  <si>
    <t>T-5</t>
  </si>
  <si>
    <t>T_Count</t>
  </si>
  <si>
    <t>Total_Smells</t>
  </si>
  <si>
    <t>Nível</t>
  </si>
  <si>
    <t>HU01</t>
  </si>
  <si>
    <t>[Federal Spending] Como usuário, quero que o botão de publicar no FABS seja desativado após clicar, enquanto as derivações acontecem, para que eu não possa clicar múltiplas vezes na mesma submissão.</t>
  </si>
  <si>
    <t>HU02</t>
  </si>
  <si>
    <t>[Federal Spending] Como usuário de agência, quero enviar meus dados com campos cercados por aspas, para que o Excel não remova zeros à esquerda ou à direita.</t>
  </si>
  <si>
    <t>HU03</t>
  </si>
  <si>
    <t>[Federal Spending] Como usuário do site, quero acessar os arquivos publicados pelo FABS, para que eu possa ver os novos arquivos conforme chegam.</t>
  </si>
  <si>
    <t>HU04</t>
  </si>
  <si>
    <t>[Federal Spending] Como usuário da agência, quero receber um erro de arquivo mais útil ao enviar um arquivo com extensão incorreta.</t>
  </si>
  <si>
    <t>HU05</t>
  </si>
  <si>
    <t>[Federal Spending] Como desenvolvedor, quero que as requisições de geração de arquivos D sejam gerenciadas e armazenadas em cache, para que requisições duplicadas não causem problemas de desempenho.</t>
  </si>
  <si>
    <t>HU06</t>
  </si>
  <si>
    <t>[Federal Spending] Como usuário de agência, quero incluir um grande número de campos flexíveis sem impacto no desempenho.</t>
  </si>
  <si>
    <t>HU07</t>
  </si>
  <si>
    <t>[Federal Spending] Como desenvolvedor, quero atualizar a tabela de regras de validação do Broker para contemplar as atualizações de regras do DB-2213.</t>
  </si>
  <si>
    <t>HU08</t>
  </si>
  <si>
    <t>[Federal Spending] Como usuário do site, quero ver dados de assistência financeira atualizados diariamente.</t>
  </si>
  <si>
    <t>HU09</t>
  </si>
  <si>
    <t>[Federal Spending] Como proprietário, quero garantir que o USAspending envie apenas registros de concessão ao meu sistema.</t>
  </si>
  <si>
    <t>HU10</t>
  </si>
  <si>
    <t>[Federal Spending] Como usuário do broker, quero ajudar a criar mockups de conteúdo, para que eu possa enviar meus dados eficientemente.</t>
  </si>
  <si>
    <t>HU11</t>
  </si>
  <si>
    <t>[Recycling] Como usuário, quero inserir meu CEP e obter uma lista de instalações de reciclagem próximas, para que eu possa decidir quais considerar.</t>
  </si>
  <si>
    <t>HU12</t>
  </si>
  <si>
    <t>[Recycling] Como usuário, quero obter o horário de funcionamento de cada instalação de reciclagem, para que eu possa agendar entregas em meus dias de folga ou após o trabalho.</t>
  </si>
  <si>
    <t>HU13</t>
  </si>
  <si>
    <t>[Recycling] Como administrador, quero adicionar ou remover informações de instalações de reciclagem, para que os usuários recebam as informações mais recentes.</t>
  </si>
  <si>
    <t>HU14</t>
  </si>
  <si>
    <t>[Recycling] Como representante de instalação de reciclagem, quero atualizar minhas informações e os tipos de material que aceito, para evitar falhas de comunicação com os usuários.</t>
  </si>
  <si>
    <t>HU15</t>
  </si>
  <si>
    <t>[Recycling] Como usuário, quero ver todos os locais de centros de reciclagem em um mapa, para verificar quais rotas tomar para descartar resíduos.</t>
  </si>
  <si>
    <t>HU16</t>
  </si>
  <si>
    <t>[Recycling] Como usuário, quero receber recompensas atraentes, para ter um motivo para usar o site.</t>
  </si>
  <si>
    <t>HU17</t>
  </si>
  <si>
    <t>[Recycling] Como administrador, quero visualizar um painel com estatísticas de uso e localizações, para identificar bairros com maior número de descartes.</t>
  </si>
  <si>
    <t>HU18</t>
  </si>
  <si>
    <t>[Recycling] Como usuário, quero fazer upload do meu cronograma semanal, para receber recomendações de centros de reciclagem que melhor se encaixem na minha disponibilidade.</t>
  </si>
  <si>
    <t>HU19</t>
  </si>
  <si>
    <t>[Recycling] Como usuário, quero ter uma ótima interface e experiência, para ter uma experiência agradável ao navegar.</t>
  </si>
  <si>
    <t>HU20</t>
  </si>
  <si>
    <t>[Recycling] Como desenvolvedor, quero usar bootstrap no processo de desenvolvimento, para facilitar o design do site.</t>
  </si>
  <si>
    <t>HU21</t>
  </si>
  <si>
    <t>[Planning Poker] Como moderador, quero criar um novo jogo informando um nome e uma descrição opcional, para começar a convidar estimadores.</t>
  </si>
  <si>
    <t>HU22</t>
  </si>
  <si>
    <t>[Planning Poker] Como moderador, quero exportar a transcrição de um jogo como arquivo CSV, para processar as histórias e estimativas posteriormente.</t>
  </si>
  <si>
    <t>HU23</t>
  </si>
  <si>
    <t>[Planning Poker] Como participante, quero iniciar um cronômetro de dois minutos visível a todos, para limitar o tempo de discussão das estimativas.</t>
  </si>
  <si>
    <t>HU24</t>
  </si>
  <si>
    <t>[Planning Poker] Como moderador, quero excluir um jogo, para que as histórias e estimativas não fiquem mais armazenadas.</t>
  </si>
  <si>
    <t>HU25</t>
  </si>
  <si>
    <t>[Planning Poker] Como moderador, quero importar histórias de uma planilha, para não ter que copiar e colar cada história individualmente.</t>
  </si>
  <si>
    <t>HU26</t>
  </si>
  <si>
    <t>[Planning Poker] Como participante, quero ver uma miniatura de foto exibida perto de onde jogo minhas cartas, para que o jogo seja mais pessoal.</t>
  </si>
  <si>
    <t>HU27</t>
  </si>
  <si>
    <t>[Planning Poker] Como desenvolvedor, quero ter o site em conformidade com as diretrizes de acessibilidade W3C, para que pessoas com necessidades especiais possam usar o aplicativo.</t>
  </si>
  <si>
    <t>HU28</t>
  </si>
  <si>
    <t>[Planning Poker] Como usuário, quero que o aplicativo responda rapidamente às minhas ações, para não me entediar.</t>
  </si>
  <si>
    <t>HU29</t>
  </si>
  <si>
    <t>[Planning Poker] Como desenvolvedor, quero ter criado índices no banco de dados, para que as consultas rodem o mais rápido possível.</t>
  </si>
  <si>
    <t>HU30</t>
  </si>
  <si>
    <t>[Planning Poker] Como Mike, quero ver algumas métricas sobre o uso do jogo, para ver o quanto ele está sendo utilizado.</t>
  </si>
  <si>
    <t>Avaliação de Requirements Smells — ChatGPT ZeroShot</t>
  </si>
  <si>
    <t>Avaliação de Requirements Smells — ChatGPT FewShot</t>
  </si>
  <si>
    <t>Avaliação de Requirements Smells — ChatGPT CoT</t>
  </si>
  <si>
    <t>Avaliação de Requirements Smells — Gemini ZeroShot</t>
  </si>
  <si>
    <t>Avaliação de Requirements Smells — Gemini FewShot</t>
  </si>
  <si>
    <t>Avaliação de Requirements Smells — Gemini CoT</t>
  </si>
  <si>
    <t>Avaliação de Requirements Smells — Claude ZeroShot</t>
  </si>
  <si>
    <t>Avaliação de Requirements Smells — Claude FewShot</t>
  </si>
  <si>
    <t>Avaliação de Requirements Smells — Claude CoT</t>
  </si>
  <si>
    <t>Volumetria Geral de Smells por Criterio INVEST</t>
  </si>
  <si>
    <t>Avaliador</t>
  </si>
  <si>
    <t>I — Independente</t>
  </si>
  <si>
    <t>N — Negociavel</t>
  </si>
  <si>
    <t>V — Valiosa</t>
  </si>
  <si>
    <t>E — Estimavel</t>
  </si>
  <si>
    <t>S — Sucinta</t>
  </si>
  <si>
    <t>T — Testavel</t>
  </si>
  <si>
    <t>TOTAL SMELLS</t>
  </si>
  <si>
    <t>% do Humano</t>
  </si>
  <si>
    <t>Humano (Baseline)</t>
  </si>
  <si>
    <t>100%</t>
  </si>
  <si>
    <t>ChatGPT — Zero-Shot</t>
  </si>
  <si>
    <t>ChatGPT — Few-Shot</t>
  </si>
  <si>
    <t>ChatGPT — CoT</t>
  </si>
  <si>
    <t>Gemini — Zero-Shot</t>
  </si>
  <si>
    <t>Gemini — Few-Shot</t>
  </si>
  <si>
    <t>Gemini — CoT</t>
  </si>
  <si>
    <t>Claude — Zero-Shot</t>
  </si>
  <si>
    <t>Claude — Few-Shot</t>
  </si>
  <si>
    <t>Claude — CoT</t>
  </si>
  <si>
    <t>Detalhamento por Historia de Usuario (Baseline Humano)</t>
  </si>
  <si>
    <t>Historia</t>
  </si>
  <si>
    <t>I</t>
  </si>
  <si>
    <t>N</t>
  </si>
  <si>
    <t>V</t>
  </si>
  <si>
    <t>E</t>
  </si>
  <si>
    <t>S</t>
  </si>
  <si>
    <t>T</t>
  </si>
  <si>
    <t>Total</t>
  </si>
  <si>
    <t>Nivel</t>
  </si>
  <si>
    <t>HU01 - Button Disable (FABS)</t>
  </si>
  <si>
    <t>HU02 - Quoted Fields</t>
  </si>
  <si>
    <t>HU03 - Published Files</t>
  </si>
  <si>
    <t>HU04 - File Extension Error</t>
  </si>
  <si>
    <t>HU05 - D-File Cache</t>
  </si>
  <si>
    <t>HU06 - Flexible Fields</t>
  </si>
  <si>
    <t>HU07 - Validation Rules</t>
  </si>
  <si>
    <t>HU08 - Daily Financial Data</t>
  </si>
  <si>
    <t>HU09 - Grant Records Only</t>
  </si>
  <si>
    <t>HU10 - Content Mockups</t>
  </si>
  <si>
    <t>HU11 - CEP + Recycling List</t>
  </si>
  <si>
    <t>HU12 - Operating Hours</t>
  </si>
  <si>
    <t>HU13 - Add/Remove Facility</t>
  </si>
  <si>
    <t>HU14 - Update Facility Info</t>
  </si>
  <si>
    <t>HU15 - Map All Locations</t>
  </si>
  <si>
    <t>HU16 - Attractive Rewards</t>
  </si>
  <si>
    <t>HU17 - Usage Dashboard</t>
  </si>
  <si>
    <t>HU18 - Schedule Upload</t>
  </si>
  <si>
    <t>HU19 - Great Interface</t>
  </si>
  <si>
    <t>HU20 - Bootstrap Dev</t>
  </si>
  <si>
    <t>HU21 - Create Game</t>
  </si>
  <si>
    <t>HU22 - Export CSV</t>
  </si>
  <si>
    <t>HU23 - 2min Timer</t>
  </si>
  <si>
    <t>HU24 - Delete Game</t>
  </si>
  <si>
    <t>HU25 - Import Stories</t>
  </si>
  <si>
    <t>HU26 - Profile Photo</t>
  </si>
  <si>
    <t>HU27 - W3C Compliance</t>
  </si>
  <si>
    <t>HU28 - Fast Response</t>
  </si>
  <si>
    <t>HU29 - DB Indexes</t>
  </si>
  <si>
    <t>HU30 - Usage Metrics (Mike)</t>
  </si>
  <si>
    <t>Análise de Erro Médio Absoluto (MAE) — LLMs vs Avaliação Humana</t>
  </si>
  <si>
    <t>Critério</t>
  </si>
  <si>
    <t>Humano</t>
  </si>
  <si>
    <t>GPT_ZS</t>
  </si>
  <si>
    <t>GPT_FS</t>
  </si>
  <si>
    <t>GPT_CoT</t>
  </si>
  <si>
    <t>Gem_ZS</t>
  </si>
  <si>
    <t>Gem_FS</t>
  </si>
  <si>
    <t>Gem_CoT</t>
  </si>
  <si>
    <t>Cla_ZS</t>
  </si>
  <si>
    <t>Cla_FS</t>
  </si>
  <si>
    <t>Cla_CoT</t>
  </si>
  <si>
    <t>EA_GPT_ZS</t>
  </si>
  <si>
    <t>EA_GPT_FS</t>
  </si>
  <si>
    <t>EA_GPT_CoT</t>
  </si>
  <si>
    <t>EA_Gem_ZS</t>
  </si>
  <si>
    <t>EA_Gem_FS</t>
  </si>
  <si>
    <t>EA_Gem_CoT</t>
  </si>
  <si>
    <t>EA_Cla_ZS</t>
  </si>
  <si>
    <t>EA_Cla_FS</t>
  </si>
  <si>
    <t>EA_Cla_CoT</t>
  </si>
  <si>
    <t>MAE por LLM/Técnica</t>
  </si>
  <si>
    <t>Super-Inferencia e Smells Perdidos — Divergencias entre LLMs e Baseline Humano</t>
  </si>
  <si>
    <t>TABELA 1: Super-Inferencia (LLM detectou smell que o humano NAO detectou) — Falsos Positivos</t>
  </si>
  <si>
    <t>LLM / Tecnica</t>
  </si>
  <si>
    <t>TOTAL FP</t>
  </si>
  <si>
    <t>TABELA 2: Smells Perdidos (LLM NAO detectou smell que o humano detectou) — Falsos Negativos</t>
  </si>
  <si>
    <t>TOTAL FN</t>
  </si>
  <si>
    <t>Indice de Concordancia — Taxa de Acordo entre LLMs e Baseline Humano</t>
  </si>
  <si>
    <t>ACORDO GERAL</t>
  </si>
  <si>
    <t>DIVERGENCIA GERAL</t>
  </si>
  <si>
    <t>RESUMO POR MODELO (media das 3 tecnicas)</t>
  </si>
  <si>
    <t>Modelo</t>
  </si>
  <si>
    <t>DIVERGENCIA</t>
  </si>
  <si>
    <t>ChatGPT (GPT-5.5)</t>
  </si>
  <si>
    <t>Gemini (3.1 Pro)</t>
  </si>
  <si>
    <t>Claude (Sonnet 4.6)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</si>
</sst>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000"/>
  </numFmts>
  <fonts count="15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b/>
      <sz val="13.0"/>
      <color rgb="FFFFFFFF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1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F6B3B"/>
        <bgColor rgb="FF1F6B3B"/>
      </patternFill>
    </fill>
    <fill>
      <patternFill patternType="solid">
        <fgColor rgb="FF7B3F00"/>
        <bgColor rgb="FF7B3F00"/>
      </patternFill>
    </fill>
    <fill>
      <patternFill patternType="solid">
        <fgColor rgb="FF1A5276"/>
        <bgColor rgb="FF1A5276"/>
      </patternFill>
    </fill>
    <fill>
      <patternFill patternType="solid">
        <fgColor rgb="FF6C1A6C"/>
        <bgColor rgb="FF6C1A6C"/>
      </patternFill>
    </fill>
    <fill>
      <patternFill patternType="solid">
        <fgColor rgb="FF7D6608"/>
        <bgColor rgb="FF7D6608"/>
      </patternFill>
    </fill>
    <fill>
      <patternFill patternType="solid">
        <fgColor rgb="FF922B21"/>
        <bgColor rgb="FF922B21"/>
      </patternFill>
    </fill>
    <fill>
      <patternFill patternType="solid">
        <fgColor rgb="FF154360"/>
        <bgColor rgb="FF154360"/>
      </patternFill>
    </fill>
    <fill>
      <patternFill patternType="solid">
        <fgColor rgb="FFFFFFFF"/>
        <bgColor rgb="FFFFFFFF"/>
      </patternFill>
    </fill>
    <fill>
      <patternFill patternType="solid">
        <fgColor rgb="FFD5E8D4"/>
        <bgColor rgb="FFD5E8D4"/>
      </patternFill>
    </fill>
    <fill>
      <patternFill patternType="solid">
        <fgColor rgb="FFFFE6CC"/>
        <bgColor rgb="FFFFE6CC"/>
      </patternFill>
    </fill>
    <fill>
      <patternFill patternType="solid">
        <fgColor rgb="FFDAE8FC"/>
        <bgColor rgb="FFDAE8FC"/>
      </patternFill>
    </fill>
    <fill>
      <patternFill patternType="solid">
        <fgColor rgb="FFE1D5E7"/>
        <bgColor rgb="FFE1D5E7"/>
      </patternFill>
    </fill>
    <fill>
      <patternFill patternType="solid">
        <fgColor rgb="FFFFF2CC"/>
        <bgColor rgb="FFFFF2CC"/>
      </patternFill>
    </fill>
    <fill>
      <patternFill patternType="solid">
        <fgColor rgb="FFF8CECC"/>
        <bgColor rgb="FFF8CECC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C0392B"/>
        <bgColor rgb="FFC0392B"/>
      </patternFill>
    </fill>
    <fill>
      <patternFill patternType="solid">
        <fgColor rgb="FFFCE4D6"/>
        <bgColor rgb="FFFCE4D6"/>
      </patternFill>
    </fill>
    <fill>
      <patternFill patternType="solid">
        <fgColor rgb="FFE67E22"/>
        <bgColor rgb="FFE67E22"/>
      </patternFill>
    </fill>
    <fill>
      <patternFill patternType="solid">
        <fgColor rgb="FFE2EFDA"/>
        <bgColor rgb="FFE2EFD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9" fontId="3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vertical="center"/>
    </xf>
    <xf borderId="4" fillId="10" fontId="5" numFmtId="0" xfId="0" applyAlignment="1" applyBorder="1" applyFont="1">
      <alignment horizontal="left" shrinkToFit="0" vertical="center" wrapText="1"/>
    </xf>
    <xf borderId="4" fillId="11" fontId="5" numFmtId="0" xfId="0" applyAlignment="1" applyBorder="1" applyFill="1" applyFont="1">
      <alignment horizontal="center" readingOrder="0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4" fillId="11" fontId="4" numFmtId="0" xfId="0" applyAlignment="1" applyBorder="1" applyFont="1">
      <alignment horizontal="center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12" fontId="4" numFmtId="0" xfId="0" applyAlignment="1" applyBorder="1" applyFont="1">
      <alignment horizontal="center" shrinkToFit="0" vertical="center" wrapText="1"/>
    </xf>
    <xf borderId="4" fillId="13" fontId="5" numFmtId="0" xfId="0" applyAlignment="1" applyBorder="1" applyFill="1" applyFont="1">
      <alignment horizontal="center" shrinkToFit="0" vertical="center" wrapText="1"/>
    </xf>
    <xf borderId="4" fillId="13" fontId="4" numFmtId="0" xfId="0" applyAlignment="1" applyBorder="1" applyFont="1">
      <alignment horizontal="center" shrinkToFit="0" vertical="center" wrapText="1"/>
    </xf>
    <xf borderId="4" fillId="14" fontId="5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ont="1">
      <alignment horizontal="center" shrinkToFit="0" vertical="center" wrapText="1"/>
    </xf>
    <xf borderId="4" fillId="15" fontId="5" numFmtId="0" xfId="0" applyAlignment="1" applyBorder="1" applyFill="1" applyFont="1">
      <alignment horizontal="center" shrinkToFit="0" vertical="center" wrapText="1"/>
    </xf>
    <xf borderId="4" fillId="15" fontId="4" numFmtId="0" xfId="0" applyAlignment="1" applyBorder="1" applyFont="1">
      <alignment horizontal="center" shrinkToFit="0" vertical="center" wrapText="1"/>
    </xf>
    <xf borderId="4" fillId="16" fontId="5" numFmtId="0" xfId="0" applyAlignment="1" applyBorder="1" applyFill="1" applyFont="1">
      <alignment horizontal="center" shrinkToFit="0" vertical="center" wrapText="1"/>
    </xf>
    <xf borderId="4" fillId="16" fontId="4" numFmtId="0" xfId="0" applyAlignment="1" applyBorder="1" applyFont="1">
      <alignment horizontal="center" shrinkToFit="0" vertical="center" wrapText="1"/>
    </xf>
    <xf borderId="4" fillId="17" fontId="4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17" fontId="4" numFmtId="0" xfId="0" applyAlignment="1" applyBorder="1" applyFont="1">
      <alignment horizontal="center" vertical="center"/>
    </xf>
    <xf borderId="4" fillId="17" fontId="5" numFmtId="0" xfId="0" applyAlignment="1" applyBorder="1" applyFont="1">
      <alignment horizontal="left" shrinkToFit="0" vertical="center" wrapText="1"/>
    </xf>
    <xf borderId="4" fillId="13" fontId="5" numFmtId="0" xfId="0" applyAlignment="1" applyBorder="1" applyFont="1">
      <alignment horizontal="center" readingOrder="0" shrinkToFit="0" vertical="center" wrapText="1"/>
    </xf>
    <xf borderId="4" fillId="11" fontId="4" numFmtId="0" xfId="0" applyAlignment="1" applyBorder="1" applyFont="1">
      <alignment horizontal="center" readingOrder="0" shrinkToFit="0" vertical="center" wrapText="1"/>
    </xf>
    <xf borderId="4" fillId="12" fontId="5" numFmtId="0" xfId="0" applyAlignment="1" applyBorder="1" applyFont="1">
      <alignment horizontal="center" readingOrder="0" shrinkToFit="0" vertical="center" wrapText="1"/>
    </xf>
    <xf borderId="4" fillId="14" fontId="5" numFmtId="0" xfId="0" applyAlignment="1" applyBorder="1" applyFont="1">
      <alignment horizontal="center" readingOrder="0" shrinkToFit="0" vertical="center" wrapText="1"/>
    </xf>
    <xf borderId="4" fillId="16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bottom"/>
    </xf>
    <xf borderId="1" fillId="2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18" fontId="8" numFmtId="0" xfId="0" applyAlignment="1" applyBorder="1" applyFill="1" applyFont="1">
      <alignment horizontal="center" shrinkToFit="0" vertical="center" wrapText="1"/>
    </xf>
    <xf borderId="4" fillId="19" fontId="9" numFmtId="0" xfId="0" applyAlignment="1" applyBorder="1" applyFill="1" applyFont="1">
      <alignment horizontal="left" shrinkToFit="0" vertical="center" wrapText="1"/>
    </xf>
    <xf borderId="4" fillId="11" fontId="10" numFmtId="0" xfId="0" applyAlignment="1" applyBorder="1" applyFont="1">
      <alignment horizontal="center" shrinkToFit="0" vertical="center" wrapText="1"/>
    </xf>
    <xf borderId="4" fillId="12" fontId="10" numFmtId="0" xfId="0" applyAlignment="1" applyBorder="1" applyFont="1">
      <alignment horizontal="center" shrinkToFit="0" vertical="center" wrapText="1"/>
    </xf>
    <xf borderId="4" fillId="13" fontId="10" numFmtId="0" xfId="0" applyAlignment="1" applyBorder="1" applyFont="1">
      <alignment horizontal="center" shrinkToFit="0" vertical="center" wrapText="1"/>
    </xf>
    <xf borderId="4" fillId="14" fontId="10" numFmtId="0" xfId="0" applyAlignment="1" applyBorder="1" applyFont="1">
      <alignment horizontal="center" shrinkToFit="0" vertical="center" wrapText="1"/>
    </xf>
    <xf borderId="4" fillId="15" fontId="10" numFmtId="0" xfId="0" applyAlignment="1" applyBorder="1" applyFont="1">
      <alignment horizontal="center" shrinkToFit="0" vertical="center" wrapText="1"/>
    </xf>
    <xf borderId="4" fillId="16" fontId="10" numFmtId="0" xfId="0" applyAlignment="1" applyBorder="1" applyFont="1">
      <alignment horizontal="center" shrinkToFit="0" vertical="center" wrapText="1"/>
    </xf>
    <xf borderId="4" fillId="19" fontId="10" numFmtId="0" xfId="0" applyAlignment="1" applyBorder="1" applyFont="1">
      <alignment horizontal="center" shrinkToFit="0" vertical="center" wrapText="1"/>
    </xf>
    <xf borderId="4" fillId="17" fontId="11" numFmtId="0" xfId="0" applyAlignment="1" applyBorder="1" applyFont="1">
      <alignment horizontal="left" shrinkToFit="0" vertical="center" wrapText="1"/>
    </xf>
    <xf borderId="4" fillId="17" fontId="12" numFmtId="0" xfId="0" applyAlignment="1" applyBorder="1" applyFont="1">
      <alignment horizontal="center" shrinkToFit="0" vertical="center" wrapText="1"/>
    </xf>
    <xf borderId="4" fillId="17" fontId="10" numFmtId="0" xfId="0" applyAlignment="1" applyBorder="1" applyFont="1">
      <alignment horizontal="center" shrinkToFit="0" vertical="center" wrapText="1"/>
    </xf>
    <xf borderId="4" fillId="17" fontId="12" numFmtId="164" xfId="0" applyAlignment="1" applyBorder="1" applyFont="1" applyNumberFormat="1">
      <alignment horizontal="center" shrinkToFit="0" vertical="center" wrapText="1"/>
    </xf>
    <xf borderId="4" fillId="10" fontId="11" numFmtId="0" xfId="0" applyAlignment="1" applyBorder="1" applyFont="1">
      <alignment horizontal="left" shrinkToFit="0" vertical="center" wrapText="1"/>
    </xf>
    <xf borderId="4" fillId="10" fontId="12" numFmtId="0" xfId="0" applyAlignment="1" applyBorder="1" applyFont="1">
      <alignment horizontal="center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4" fillId="10" fontId="12" numFmtId="164" xfId="0" applyAlignment="1" applyBorder="1" applyFont="1" applyNumberForma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left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4" fillId="10" fontId="9" numFmtId="0" xfId="0" applyAlignment="1" applyBorder="1" applyFont="1">
      <alignment horizontal="center" shrinkToFit="0" vertical="center" wrapText="1"/>
    </xf>
    <xf borderId="4" fillId="17" fontId="9" numFmtId="0" xfId="0" applyAlignment="1" applyBorder="1" applyFont="1">
      <alignment horizontal="left" shrinkToFit="0" vertical="center" wrapText="1"/>
    </xf>
    <xf borderId="4" fillId="17" fontId="11" numFmtId="0" xfId="0" applyAlignment="1" applyBorder="1" applyFont="1">
      <alignment horizontal="center" shrinkToFit="0" vertical="center" wrapText="1"/>
    </xf>
    <xf borderId="4" fillId="17" fontId="9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17" fontId="5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4" fillId="8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13" fontId="4" numFmtId="165" xfId="0" applyAlignment="1" applyBorder="1" applyFont="1" applyNumberFormat="1">
      <alignment horizontal="center" shrinkToFit="0" vertical="center" wrapText="1"/>
    </xf>
    <xf borderId="1" fillId="20" fontId="3" numFmtId="0" xfId="0" applyAlignment="1" applyBorder="1" applyFill="1" applyFont="1">
      <alignment horizontal="left" shrinkToFit="0" vertical="center" wrapText="1"/>
    </xf>
    <xf borderId="4" fillId="21" fontId="9" numFmtId="0" xfId="0" applyAlignment="1" applyBorder="1" applyFill="1" applyFont="1">
      <alignment horizontal="center" shrinkToFit="0" vertical="center" wrapText="1"/>
    </xf>
    <xf borderId="1" fillId="22" fontId="3" numFmtId="0" xfId="0" applyAlignment="1" applyBorder="1" applyFill="1" applyFont="1">
      <alignment horizontal="left" shrinkToFit="0" vertical="center" wrapText="1"/>
    </xf>
    <xf borderId="4" fillId="15" fontId="9" numFmtId="0" xfId="0" applyAlignment="1" applyBorder="1" applyFont="1">
      <alignment horizontal="center" shrinkToFit="0" vertical="center" wrapText="1"/>
    </xf>
    <xf borderId="4" fillId="20" fontId="8" numFmtId="0" xfId="0" applyAlignment="1" applyBorder="1" applyFont="1">
      <alignment horizontal="center" shrinkToFit="0" vertical="center" wrapText="1"/>
    </xf>
    <xf borderId="4" fillId="11" fontId="10" numFmtId="164" xfId="0" applyAlignment="1" applyBorder="1" applyFont="1" applyNumberFormat="1">
      <alignment horizontal="center" shrinkToFit="0" vertical="center" wrapText="1"/>
    </xf>
    <xf borderId="4" fillId="12" fontId="10" numFmtId="164" xfId="0" applyAlignment="1" applyBorder="1" applyFont="1" applyNumberFormat="1">
      <alignment horizontal="center" shrinkToFit="0" vertical="center" wrapText="1"/>
    </xf>
    <xf borderId="4" fillId="13" fontId="10" numFmtId="164" xfId="0" applyAlignment="1" applyBorder="1" applyFont="1" applyNumberFormat="1">
      <alignment horizontal="center" shrinkToFit="0" vertical="center" wrapText="1"/>
    </xf>
    <xf borderId="4" fillId="14" fontId="10" numFmtId="164" xfId="0" applyAlignment="1" applyBorder="1" applyFont="1" applyNumberFormat="1">
      <alignment horizontal="center" shrinkToFit="0" vertical="center" wrapText="1"/>
    </xf>
    <xf borderId="4" fillId="15" fontId="10" numFmtId="164" xfId="0" applyAlignment="1" applyBorder="1" applyFont="1" applyNumberFormat="1">
      <alignment horizontal="center" shrinkToFit="0" vertical="center" wrapText="1"/>
    </xf>
    <xf borderId="4" fillId="16" fontId="10" numFmtId="164" xfId="0" applyAlignment="1" applyBorder="1" applyFont="1" applyNumberFormat="1">
      <alignment horizontal="center" shrinkToFit="0" vertical="center" wrapText="1"/>
    </xf>
    <xf borderId="4" fillId="23" fontId="14" numFmtId="164" xfId="0" applyAlignment="1" applyBorder="1" applyFill="1" applyFont="1" applyNumberFormat="1">
      <alignment horizontal="center" shrinkToFit="0" vertical="center" wrapText="1"/>
    </xf>
    <xf borderId="4" fillId="21" fontId="14" numFmtId="164" xfId="0" applyAlignment="1" applyBorder="1" applyFont="1" applyNumberFormat="1">
      <alignment horizontal="center" shrinkToFit="0" vertical="center" wrapText="1"/>
    </xf>
    <xf borderId="1" fillId="18" fontId="3" numFmtId="0" xfId="0" applyAlignment="1" applyBorder="1" applyFont="1">
      <alignment horizontal="left" shrinkToFit="0" vertical="center" wrapText="1"/>
    </xf>
    <xf borderId="4" fillId="10" fontId="10" numFmtId="164" xfId="0" applyAlignment="1" applyBorder="1" applyFont="1" applyNumberFormat="1">
      <alignment horizontal="center" shrinkToFit="0" vertical="center" wrapText="1"/>
    </xf>
    <xf borderId="4" fillId="23" fontId="10" numFmtId="164" xfId="0" applyAlignment="1" applyBorder="1" applyFont="1" applyNumberFormat="1">
      <alignment horizontal="center" shrinkToFit="0" vertical="center" wrapText="1"/>
    </xf>
    <xf borderId="4" fillId="21" fontId="10" numFmtId="164" xfId="0" applyAlignment="1" applyBorder="1" applyFont="1" applyNumberFormat="1">
      <alignment horizontal="center" shrinkToFit="0" vertical="center" wrapText="1"/>
    </xf>
    <xf borderId="4" fillId="17" fontId="10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4">
        <v>0.0</v>
      </c>
      <c r="D3" s="15">
        <v>0.0</v>
      </c>
      <c r="E3" s="15">
        <v>0.0</v>
      </c>
      <c r="F3" s="15">
        <v>0.0</v>
      </c>
      <c r="G3" s="14">
        <v>0.0</v>
      </c>
      <c r="H3" s="16">
        <f t="shared" ref="H3:H6" si="1">SUM(C3:G3)</f>
        <v>0</v>
      </c>
      <c r="I3" s="17">
        <v>0.0</v>
      </c>
      <c r="J3" s="17">
        <v>1.0</v>
      </c>
      <c r="K3" s="17">
        <v>0.0</v>
      </c>
      <c r="L3" s="17">
        <v>0.0</v>
      </c>
      <c r="M3" s="17">
        <v>1.0</v>
      </c>
      <c r="N3" s="18">
        <f t="shared" ref="N3:N32" si="2">SUM(I3:M3)</f>
        <v>2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2">
        <f t="shared" ref="Z3:Z32" si="4">SUM(U3:Y3)</f>
        <v>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1.0</v>
      </c>
      <c r="AH3" s="25">
        <v>1.0</v>
      </c>
      <c r="AI3" s="25">
        <v>1.0</v>
      </c>
      <c r="AJ3" s="25">
        <v>0.0</v>
      </c>
      <c r="AK3" s="25">
        <v>0.0</v>
      </c>
      <c r="AL3" s="26">
        <f t="shared" ref="AL3:AL31" si="6">SUM(AG3:AK3)</f>
        <v>3</v>
      </c>
      <c r="AM3" s="27">
        <f t="shared" ref="AM3:AM32" si="7">H3+N3+T3+Z3+AF3+AL3</f>
        <v>5</v>
      </c>
      <c r="AN3" s="28" t="str">
        <f t="shared" ref="AN3:AN32" si="8">IF(AM3=0,"Conforme",IF(AM3&lt;=12,"Atenção","Crítico"))</f>
        <v>Atenção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1.0</v>
      </c>
      <c r="AH4" s="25">
        <v>0.0</v>
      </c>
      <c r="AI4" s="25">
        <v>1.0</v>
      </c>
      <c r="AJ4" s="25">
        <v>0.0</v>
      </c>
      <c r="AK4" s="25">
        <v>0.0</v>
      </c>
      <c r="AL4" s="26">
        <f t="shared" si="6"/>
        <v>2</v>
      </c>
      <c r="AM4" s="27">
        <f t="shared" si="7"/>
        <v>3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4">
        <v>1.0</v>
      </c>
      <c r="F5" s="15">
        <v>0.0</v>
      </c>
      <c r="G5" s="15">
        <v>0.0</v>
      </c>
      <c r="H5" s="16">
        <f t="shared" si="1"/>
        <v>1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20">
        <f t="shared" si="3"/>
        <v>0</v>
      </c>
      <c r="U5" s="21">
        <v>0.0</v>
      </c>
      <c r="V5" s="21">
        <v>0.0</v>
      </c>
      <c r="W5" s="21">
        <v>0.0</v>
      </c>
      <c r="X5" s="21">
        <v>0.0</v>
      </c>
      <c r="Y5" s="21">
        <v>0.0</v>
      </c>
      <c r="Z5" s="22">
        <f t="shared" si="4"/>
        <v>0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1.0</v>
      </c>
      <c r="AH5" s="25">
        <v>0.0</v>
      </c>
      <c r="AI5" s="25">
        <v>1.0</v>
      </c>
      <c r="AJ5" s="25">
        <v>1.0</v>
      </c>
      <c r="AK5" s="25">
        <v>0.0</v>
      </c>
      <c r="AL5" s="26">
        <f t="shared" si="6"/>
        <v>3</v>
      </c>
      <c r="AM5" s="27">
        <f t="shared" si="7"/>
        <v>4</v>
      </c>
      <c r="AN5" s="28" t="str">
        <f t="shared" si="8"/>
        <v>Atenção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31">
        <v>1.0</v>
      </c>
      <c r="P6" s="19">
        <v>0.0</v>
      </c>
      <c r="Q6" s="19">
        <v>1.0</v>
      </c>
      <c r="R6" s="19">
        <v>0.0</v>
      </c>
      <c r="S6" s="19">
        <v>0.0</v>
      </c>
      <c r="T6" s="20">
        <f t="shared" si="3"/>
        <v>2</v>
      </c>
      <c r="U6" s="21">
        <v>0.0</v>
      </c>
      <c r="V6" s="21">
        <v>1.0</v>
      </c>
      <c r="W6" s="21">
        <v>0.0</v>
      </c>
      <c r="X6" s="21">
        <v>0.0</v>
      </c>
      <c r="Y6" s="21">
        <v>0.0</v>
      </c>
      <c r="Z6" s="22">
        <f t="shared" si="4"/>
        <v>1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1.0</v>
      </c>
      <c r="AH6" s="25">
        <v>1.0</v>
      </c>
      <c r="AI6" s="25">
        <v>0.0</v>
      </c>
      <c r="AJ6" s="25">
        <v>0.0</v>
      </c>
      <c r="AK6" s="25">
        <v>0.0</v>
      </c>
      <c r="AL6" s="26">
        <f t="shared" si="6"/>
        <v>2</v>
      </c>
      <c r="AM6" s="27">
        <f t="shared" si="7"/>
        <v>5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0.0</v>
      </c>
      <c r="H7" s="32">
        <v>1.0</v>
      </c>
      <c r="I7" s="33">
        <v>1.0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2</v>
      </c>
      <c r="O7" s="19">
        <v>0.0</v>
      </c>
      <c r="P7" s="19">
        <v>1.0</v>
      </c>
      <c r="Q7" s="19">
        <v>0.0</v>
      </c>
      <c r="R7" s="19">
        <v>0.0</v>
      </c>
      <c r="S7" s="19">
        <v>0.0</v>
      </c>
      <c r="T7" s="20">
        <f t="shared" si="3"/>
        <v>1</v>
      </c>
      <c r="U7" s="21">
        <v>0.0</v>
      </c>
      <c r="V7" s="21">
        <v>0.0</v>
      </c>
      <c r="W7" s="34">
        <v>1.0</v>
      </c>
      <c r="X7" s="21">
        <v>0.0</v>
      </c>
      <c r="Y7" s="21">
        <v>0.0</v>
      </c>
      <c r="Z7" s="22">
        <f t="shared" si="4"/>
        <v>1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0</v>
      </c>
      <c r="AG7" s="25">
        <v>1.0</v>
      </c>
      <c r="AH7" s="25">
        <v>1.0</v>
      </c>
      <c r="AI7" s="25">
        <v>1.0</v>
      </c>
      <c r="AJ7" s="25">
        <v>0.0</v>
      </c>
      <c r="AK7" s="25">
        <v>0.0</v>
      </c>
      <c r="AL7" s="26">
        <f t="shared" si="6"/>
        <v>3</v>
      </c>
      <c r="AM7" s="27">
        <f t="shared" si="7"/>
        <v>8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ref="H8:H32" si="9">SUM(C8:G8)</f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0</v>
      </c>
      <c r="U8" s="21">
        <v>1.0</v>
      </c>
      <c r="V8" s="21">
        <v>0.0</v>
      </c>
      <c r="W8" s="21">
        <v>1.0</v>
      </c>
      <c r="X8" s="21">
        <v>0.0</v>
      </c>
      <c r="Y8" s="34">
        <v>1.0</v>
      </c>
      <c r="Z8" s="22">
        <f t="shared" si="4"/>
        <v>3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1.0</v>
      </c>
      <c r="AH8" s="25">
        <v>1.0</v>
      </c>
      <c r="AI8" s="25">
        <v>0.0</v>
      </c>
      <c r="AJ8" s="25">
        <v>0.0</v>
      </c>
      <c r="AK8" s="25">
        <v>0.0</v>
      </c>
      <c r="AL8" s="26">
        <f t="shared" si="6"/>
        <v>2</v>
      </c>
      <c r="AM8" s="27">
        <f t="shared" si="7"/>
        <v>5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9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1.0</v>
      </c>
      <c r="P9" s="19">
        <v>0.0</v>
      </c>
      <c r="Q9" s="19">
        <v>0.0</v>
      </c>
      <c r="R9" s="19">
        <v>0.0</v>
      </c>
      <c r="S9" s="19">
        <v>0.0</v>
      </c>
      <c r="T9" s="20">
        <f t="shared" si="3"/>
        <v>1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2">
        <f t="shared" si="4"/>
        <v>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1.0</v>
      </c>
      <c r="AH9" s="25">
        <v>0.0</v>
      </c>
      <c r="AI9" s="25">
        <v>1.0</v>
      </c>
      <c r="AJ9" s="25">
        <v>0.0</v>
      </c>
      <c r="AK9" s="25">
        <v>0.0</v>
      </c>
      <c r="AL9" s="26">
        <f t="shared" si="6"/>
        <v>2</v>
      </c>
      <c r="AM9" s="27">
        <f t="shared" si="7"/>
        <v>4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9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1.0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1</v>
      </c>
      <c r="U10" s="21">
        <v>0.0</v>
      </c>
      <c r="V10" s="21">
        <v>0.0</v>
      </c>
      <c r="W10" s="21">
        <v>0.0</v>
      </c>
      <c r="X10" s="21">
        <v>0.0</v>
      </c>
      <c r="Y10" s="21">
        <v>0.0</v>
      </c>
      <c r="Z10" s="22">
        <f t="shared" si="4"/>
        <v>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1.0</v>
      </c>
      <c r="AH10" s="25">
        <v>0.0</v>
      </c>
      <c r="AI10" s="25">
        <v>0.0</v>
      </c>
      <c r="AJ10" s="25">
        <v>1.0</v>
      </c>
      <c r="AK10" s="25">
        <v>0.0</v>
      </c>
      <c r="AL10" s="26">
        <f t="shared" si="6"/>
        <v>2</v>
      </c>
      <c r="AM10" s="27">
        <f t="shared" si="7"/>
        <v>3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4">
        <v>1.0</v>
      </c>
      <c r="F11" s="14">
        <v>1.0</v>
      </c>
      <c r="G11" s="15">
        <v>0.0</v>
      </c>
      <c r="H11" s="16">
        <f t="shared" si="9"/>
        <v>2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1.0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1</v>
      </c>
      <c r="U11" s="21">
        <v>1.0</v>
      </c>
      <c r="V11" s="21">
        <v>0.0</v>
      </c>
      <c r="W11" s="21">
        <v>0.0</v>
      </c>
      <c r="X11" s="21">
        <v>0.0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1.0</v>
      </c>
      <c r="AH11" s="25">
        <v>0.0</v>
      </c>
      <c r="AI11" s="25">
        <v>1.0</v>
      </c>
      <c r="AJ11" s="25">
        <v>0.0</v>
      </c>
      <c r="AK11" s="25">
        <v>0.0</v>
      </c>
      <c r="AL11" s="26">
        <f t="shared" si="6"/>
        <v>2</v>
      </c>
      <c r="AM11" s="27">
        <f t="shared" si="7"/>
        <v>6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6">
        <f t="shared" si="9"/>
        <v>0</v>
      </c>
      <c r="I12" s="17">
        <v>1.0</v>
      </c>
      <c r="J12" s="17">
        <v>0.0</v>
      </c>
      <c r="K12" s="17">
        <v>0.0</v>
      </c>
      <c r="L12" s="17">
        <v>0.0</v>
      </c>
      <c r="M12" s="17">
        <v>0.0</v>
      </c>
      <c r="N12" s="18">
        <f t="shared" si="2"/>
        <v>1</v>
      </c>
      <c r="O12" s="19">
        <v>0.0</v>
      </c>
      <c r="P12" s="19">
        <v>0.0</v>
      </c>
      <c r="Q12" s="19">
        <v>1.0</v>
      </c>
      <c r="R12" s="19">
        <v>0.0</v>
      </c>
      <c r="S12" s="19">
        <v>0.0</v>
      </c>
      <c r="T12" s="20">
        <f t="shared" si="3"/>
        <v>1</v>
      </c>
      <c r="U12" s="21">
        <v>0.0</v>
      </c>
      <c r="V12" s="21">
        <v>1.0</v>
      </c>
      <c r="W12" s="21">
        <v>0.0</v>
      </c>
      <c r="X12" s="21">
        <v>0.0</v>
      </c>
      <c r="Y12" s="21">
        <v>0.0</v>
      </c>
      <c r="Z12" s="22">
        <f t="shared" si="4"/>
        <v>1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1.0</v>
      </c>
      <c r="AH12" s="25">
        <v>1.0</v>
      </c>
      <c r="AI12" s="25">
        <v>0.0</v>
      </c>
      <c r="AJ12" s="25">
        <v>0.0</v>
      </c>
      <c r="AK12" s="25">
        <v>0.0</v>
      </c>
      <c r="AL12" s="26">
        <f t="shared" si="6"/>
        <v>2</v>
      </c>
      <c r="AM12" s="27">
        <f t="shared" si="7"/>
        <v>5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9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20">
        <f t="shared" si="3"/>
        <v>0</v>
      </c>
      <c r="U13" s="21">
        <v>1.0</v>
      </c>
      <c r="V13" s="21">
        <v>0.0</v>
      </c>
      <c r="W13" s="21">
        <v>0.0</v>
      </c>
      <c r="X13" s="21">
        <v>0.0</v>
      </c>
      <c r="Y13" s="21">
        <v>0.0</v>
      </c>
      <c r="Z13" s="22">
        <f t="shared" si="4"/>
        <v>1</v>
      </c>
      <c r="AA13" s="23">
        <v>1.0</v>
      </c>
      <c r="AB13" s="23">
        <v>0.0</v>
      </c>
      <c r="AC13" s="23">
        <v>0.0</v>
      </c>
      <c r="AD13" s="23">
        <v>0.0</v>
      </c>
      <c r="AE13" s="23">
        <v>0.0</v>
      </c>
      <c r="AF13" s="24">
        <f t="shared" si="5"/>
        <v>1</v>
      </c>
      <c r="AG13" s="25">
        <v>1.0</v>
      </c>
      <c r="AH13" s="25">
        <v>1.0</v>
      </c>
      <c r="AI13" s="25">
        <v>1.0</v>
      </c>
      <c r="AJ13" s="25">
        <v>1.0</v>
      </c>
      <c r="AK13" s="25">
        <v>0.0</v>
      </c>
      <c r="AL13" s="26">
        <f t="shared" si="6"/>
        <v>4</v>
      </c>
      <c r="AM13" s="27">
        <f t="shared" si="7"/>
        <v>6</v>
      </c>
      <c r="AN13" s="28" t="str">
        <f t="shared" si="8"/>
        <v>Atenção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9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0.0</v>
      </c>
      <c r="X14" s="21">
        <v>0.0</v>
      </c>
      <c r="Y14" s="21">
        <v>0.0</v>
      </c>
      <c r="Z14" s="22">
        <f t="shared" si="4"/>
        <v>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1.0</v>
      </c>
      <c r="AH14" s="25">
        <v>0.0</v>
      </c>
      <c r="AI14" s="25">
        <v>1.0</v>
      </c>
      <c r="AJ14" s="25">
        <v>1.0</v>
      </c>
      <c r="AK14" s="25">
        <v>0.0</v>
      </c>
      <c r="AL14" s="26">
        <f t="shared" si="6"/>
        <v>3</v>
      </c>
      <c r="AM14" s="27">
        <f t="shared" si="7"/>
        <v>3</v>
      </c>
      <c r="AN14" s="28" t="str">
        <f t="shared" si="8"/>
        <v>Atenção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9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22">
        <f t="shared" si="4"/>
        <v>0</v>
      </c>
      <c r="AA15" s="23">
        <v>1.0</v>
      </c>
      <c r="AB15" s="23">
        <v>1.0</v>
      </c>
      <c r="AC15" s="23">
        <v>0.0</v>
      </c>
      <c r="AD15" s="23">
        <v>0.0</v>
      </c>
      <c r="AE15" s="23">
        <v>0.0</v>
      </c>
      <c r="AF15" s="24">
        <f t="shared" si="5"/>
        <v>2</v>
      </c>
      <c r="AG15" s="25">
        <v>1.0</v>
      </c>
      <c r="AH15" s="25">
        <v>0.0</v>
      </c>
      <c r="AI15" s="25">
        <v>1.0</v>
      </c>
      <c r="AJ15" s="25">
        <v>0.0</v>
      </c>
      <c r="AK15" s="25">
        <v>0.0</v>
      </c>
      <c r="AL15" s="26">
        <f t="shared" si="6"/>
        <v>2</v>
      </c>
      <c r="AM15" s="27">
        <f t="shared" si="7"/>
        <v>4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9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2">
        <f t="shared" si="4"/>
        <v>0</v>
      </c>
      <c r="AA16" s="23">
        <v>1.0</v>
      </c>
      <c r="AB16" s="23">
        <v>0.0</v>
      </c>
      <c r="AC16" s="23">
        <v>0.0</v>
      </c>
      <c r="AD16" s="23">
        <v>1.0</v>
      </c>
      <c r="AE16" s="23">
        <v>0.0</v>
      </c>
      <c r="AF16" s="24">
        <f t="shared" si="5"/>
        <v>2</v>
      </c>
      <c r="AG16" s="25">
        <v>1.0</v>
      </c>
      <c r="AH16" s="25">
        <v>0.0</v>
      </c>
      <c r="AI16" s="25">
        <v>1.0</v>
      </c>
      <c r="AJ16" s="25">
        <v>0.0</v>
      </c>
      <c r="AK16" s="25">
        <v>0.0</v>
      </c>
      <c r="AL16" s="26">
        <f t="shared" si="6"/>
        <v>2</v>
      </c>
      <c r="AM16" s="27">
        <f t="shared" si="7"/>
        <v>4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9"/>
        <v>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8">
        <f t="shared" si="2"/>
        <v>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1.0</v>
      </c>
      <c r="V17" s="21">
        <v>0.0</v>
      </c>
      <c r="W17" s="21">
        <v>0.0</v>
      </c>
      <c r="X17" s="21">
        <v>0.0</v>
      </c>
      <c r="Y17" s="21">
        <v>0.0</v>
      </c>
      <c r="Z17" s="22">
        <f t="shared" si="4"/>
        <v>1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1.0</v>
      </c>
      <c r="AH17" s="25">
        <v>0.0</v>
      </c>
      <c r="AI17" s="25">
        <v>1.0</v>
      </c>
      <c r="AJ17" s="25">
        <v>0.0</v>
      </c>
      <c r="AK17" s="25">
        <v>1.0</v>
      </c>
      <c r="AL17" s="26">
        <f t="shared" si="6"/>
        <v>3</v>
      </c>
      <c r="AM17" s="27">
        <f t="shared" si="7"/>
        <v>4</v>
      </c>
      <c r="AN17" s="28" t="str">
        <f t="shared" si="8"/>
        <v>Atenção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9"/>
        <v>0</v>
      </c>
      <c r="I18" s="17">
        <v>0.0</v>
      </c>
      <c r="J18" s="17">
        <v>0.0</v>
      </c>
      <c r="K18" s="17">
        <v>1.0</v>
      </c>
      <c r="L18" s="17">
        <v>0.0</v>
      </c>
      <c r="M18" s="17">
        <v>0.0</v>
      </c>
      <c r="N18" s="18">
        <f t="shared" si="2"/>
        <v>1</v>
      </c>
      <c r="O18" s="19">
        <v>0.0</v>
      </c>
      <c r="P18" s="19">
        <v>1.0</v>
      </c>
      <c r="Q18" s="31">
        <v>1.0</v>
      </c>
      <c r="R18" s="19">
        <v>0.0</v>
      </c>
      <c r="S18" s="19">
        <v>0.0</v>
      </c>
      <c r="T18" s="20">
        <f t="shared" si="3"/>
        <v>2</v>
      </c>
      <c r="U18" s="21">
        <v>0.0</v>
      </c>
      <c r="V18" s="21">
        <v>0.0</v>
      </c>
      <c r="W18" s="21">
        <v>0.0</v>
      </c>
      <c r="X18" s="21">
        <v>0.0</v>
      </c>
      <c r="Y18" s="21">
        <v>0.0</v>
      </c>
      <c r="Z18" s="22">
        <f t="shared" si="4"/>
        <v>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1.0</v>
      </c>
      <c r="AH18" s="25">
        <v>1.0</v>
      </c>
      <c r="AI18" s="25">
        <v>0.0</v>
      </c>
      <c r="AJ18" s="25">
        <v>0.0</v>
      </c>
      <c r="AK18" s="25">
        <v>0.0</v>
      </c>
      <c r="AL18" s="26">
        <f t="shared" si="6"/>
        <v>2</v>
      </c>
      <c r="AM18" s="27">
        <f t="shared" si="7"/>
        <v>5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9"/>
        <v>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8">
        <f t="shared" si="2"/>
        <v>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0.0</v>
      </c>
      <c r="V19" s="21">
        <v>0.0</v>
      </c>
      <c r="W19" s="21">
        <v>0.0</v>
      </c>
      <c r="X19" s="21">
        <v>0.0</v>
      </c>
      <c r="Y19" s="21">
        <v>0.0</v>
      </c>
      <c r="Z19" s="22">
        <f t="shared" si="4"/>
        <v>0</v>
      </c>
      <c r="AA19" s="23">
        <v>1.0</v>
      </c>
      <c r="AB19" s="23">
        <v>0.0</v>
      </c>
      <c r="AC19" s="23">
        <v>0.0</v>
      </c>
      <c r="AD19" s="23">
        <v>0.0</v>
      </c>
      <c r="AE19" s="23">
        <v>0.0</v>
      </c>
      <c r="AF19" s="24">
        <f t="shared" si="5"/>
        <v>1</v>
      </c>
      <c r="AG19" s="25">
        <v>1.0</v>
      </c>
      <c r="AH19" s="25">
        <v>1.0</v>
      </c>
      <c r="AI19" s="25">
        <v>0.0</v>
      </c>
      <c r="AJ19" s="25">
        <v>0.0</v>
      </c>
      <c r="AK19" s="25">
        <v>1.0</v>
      </c>
      <c r="AL19" s="26">
        <f t="shared" si="6"/>
        <v>3</v>
      </c>
      <c r="AM19" s="27">
        <f t="shared" si="7"/>
        <v>4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4">
        <v>1.0</v>
      </c>
      <c r="E20" s="15">
        <v>0.0</v>
      </c>
      <c r="F20" s="15">
        <v>0.0</v>
      </c>
      <c r="G20" s="15">
        <v>0.0</v>
      </c>
      <c r="H20" s="16">
        <f t="shared" si="9"/>
        <v>1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0.0</v>
      </c>
      <c r="P20" s="19">
        <v>0.0</v>
      </c>
      <c r="Q20" s="19">
        <v>0.0</v>
      </c>
      <c r="R20" s="19">
        <v>1.0</v>
      </c>
      <c r="S20" s="19">
        <v>0.0</v>
      </c>
      <c r="T20" s="20">
        <f t="shared" si="3"/>
        <v>1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1.0</v>
      </c>
      <c r="AH20" s="25">
        <v>0.0</v>
      </c>
      <c r="AI20" s="25">
        <v>1.0</v>
      </c>
      <c r="AJ20" s="25">
        <v>0.0</v>
      </c>
      <c r="AK20" s="25">
        <v>1.0</v>
      </c>
      <c r="AL20" s="26">
        <f t="shared" si="6"/>
        <v>3</v>
      </c>
      <c r="AM20" s="27">
        <f t="shared" si="7"/>
        <v>5</v>
      </c>
      <c r="AN20" s="28" t="str">
        <f t="shared" si="8"/>
        <v>Atenção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9"/>
        <v>0</v>
      </c>
      <c r="I21" s="17">
        <v>0.0</v>
      </c>
      <c r="J21" s="17">
        <v>0.0</v>
      </c>
      <c r="K21" s="17">
        <v>1.0</v>
      </c>
      <c r="L21" s="17">
        <v>0.0</v>
      </c>
      <c r="M21" s="17">
        <v>1.0</v>
      </c>
      <c r="N21" s="18">
        <f t="shared" si="2"/>
        <v>2</v>
      </c>
      <c r="O21" s="19">
        <v>0.0</v>
      </c>
      <c r="P21" s="19">
        <v>0.0</v>
      </c>
      <c r="Q21" s="19">
        <v>1.0</v>
      </c>
      <c r="R21" s="19">
        <v>0.0</v>
      </c>
      <c r="S21" s="19">
        <v>0.0</v>
      </c>
      <c r="T21" s="20">
        <f t="shared" si="3"/>
        <v>1</v>
      </c>
      <c r="U21" s="34">
        <v>1.0</v>
      </c>
      <c r="V21" s="34">
        <v>1.0</v>
      </c>
      <c r="W21" s="21">
        <v>0.0</v>
      </c>
      <c r="X21" s="21">
        <v>0.0</v>
      </c>
      <c r="Y21" s="21">
        <v>0.0</v>
      </c>
      <c r="Z21" s="22">
        <f t="shared" si="4"/>
        <v>2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0</v>
      </c>
      <c r="AG21" s="25">
        <v>1.0</v>
      </c>
      <c r="AH21" s="25">
        <v>1.0</v>
      </c>
      <c r="AI21" s="25">
        <v>0.0</v>
      </c>
      <c r="AJ21" s="25">
        <v>0.0</v>
      </c>
      <c r="AK21" s="25">
        <v>0.0</v>
      </c>
      <c r="AL21" s="26">
        <f t="shared" si="6"/>
        <v>2</v>
      </c>
      <c r="AM21" s="27">
        <f t="shared" si="7"/>
        <v>7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9"/>
        <v>0</v>
      </c>
      <c r="I22" s="33">
        <v>1.0</v>
      </c>
      <c r="J22" s="17">
        <v>0.0</v>
      </c>
      <c r="K22" s="17">
        <v>0.0</v>
      </c>
      <c r="L22" s="17">
        <v>1.0</v>
      </c>
      <c r="M22" s="17">
        <v>0.0</v>
      </c>
      <c r="N22" s="18">
        <f t="shared" si="2"/>
        <v>2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20">
        <f t="shared" si="3"/>
        <v>1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1.0</v>
      </c>
      <c r="AH22" s="25">
        <v>0.0</v>
      </c>
      <c r="AI22" s="25">
        <v>0.0</v>
      </c>
      <c r="AJ22" s="25">
        <v>0.0</v>
      </c>
      <c r="AK22" s="25">
        <v>0.0</v>
      </c>
      <c r="AL22" s="26">
        <f t="shared" si="6"/>
        <v>1</v>
      </c>
      <c r="AM22" s="27">
        <f t="shared" si="7"/>
        <v>4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9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0</v>
      </c>
      <c r="AG23" s="25">
        <v>1.0</v>
      </c>
      <c r="AH23" s="25">
        <v>0.0</v>
      </c>
      <c r="AI23" s="25">
        <v>1.0</v>
      </c>
      <c r="AJ23" s="25">
        <v>0.0</v>
      </c>
      <c r="AK23" s="25">
        <v>1.0</v>
      </c>
      <c r="AL23" s="26">
        <f t="shared" si="6"/>
        <v>3</v>
      </c>
      <c r="AM23" s="27">
        <f t="shared" si="7"/>
        <v>3</v>
      </c>
      <c r="AN23" s="28" t="str">
        <f t="shared" si="8"/>
        <v>Atenção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9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1.0</v>
      </c>
      <c r="AH24" s="25">
        <v>0.0</v>
      </c>
      <c r="AI24" s="25">
        <v>1.0</v>
      </c>
      <c r="AJ24" s="25">
        <v>1.0</v>
      </c>
      <c r="AK24" s="25">
        <v>0.0</v>
      </c>
      <c r="AL24" s="26">
        <f t="shared" si="6"/>
        <v>3</v>
      </c>
      <c r="AM24" s="27">
        <f t="shared" si="7"/>
        <v>3</v>
      </c>
      <c r="AN24" s="28" t="str">
        <f t="shared" si="8"/>
        <v>Atenção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9"/>
        <v>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8">
        <f t="shared" si="2"/>
        <v>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1.0</v>
      </c>
      <c r="AH25" s="25">
        <v>0.0</v>
      </c>
      <c r="AI25" s="25">
        <v>1.0</v>
      </c>
      <c r="AJ25" s="25">
        <v>0.0</v>
      </c>
      <c r="AK25" s="25">
        <v>0.0</v>
      </c>
      <c r="AL25" s="26">
        <f t="shared" si="6"/>
        <v>2</v>
      </c>
      <c r="AM25" s="27">
        <f t="shared" si="7"/>
        <v>2</v>
      </c>
      <c r="AN25" s="28" t="str">
        <f t="shared" si="8"/>
        <v>Atenção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9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1.0</v>
      </c>
      <c r="AH26" s="25">
        <v>0.0</v>
      </c>
      <c r="AI26" s="25">
        <v>1.0</v>
      </c>
      <c r="AJ26" s="25">
        <v>0.0</v>
      </c>
      <c r="AK26" s="25">
        <v>0.0</v>
      </c>
      <c r="AL26" s="26">
        <f t="shared" si="6"/>
        <v>2</v>
      </c>
      <c r="AM26" s="27">
        <f t="shared" si="7"/>
        <v>2</v>
      </c>
      <c r="AN26" s="28" t="str">
        <f t="shared" si="8"/>
        <v>Atenção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9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1.0</v>
      </c>
      <c r="N27" s="18">
        <f t="shared" si="2"/>
        <v>1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1.0</v>
      </c>
      <c r="AH27" s="25">
        <v>0.0</v>
      </c>
      <c r="AI27" s="25">
        <v>1.0</v>
      </c>
      <c r="AJ27" s="25">
        <v>0.0</v>
      </c>
      <c r="AK27" s="25">
        <v>1.0</v>
      </c>
      <c r="AL27" s="26">
        <f t="shared" si="6"/>
        <v>3</v>
      </c>
      <c r="AM27" s="27">
        <f t="shared" si="7"/>
        <v>4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9"/>
        <v>0</v>
      </c>
      <c r="I28" s="17">
        <v>0.0</v>
      </c>
      <c r="J28" s="17">
        <v>0.0</v>
      </c>
      <c r="K28" s="17">
        <v>0.0</v>
      </c>
      <c r="L28" s="17">
        <v>1.0</v>
      </c>
      <c r="M28" s="17">
        <v>0.0</v>
      </c>
      <c r="N28" s="18">
        <f t="shared" si="2"/>
        <v>1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f t="shared" si="3"/>
        <v>0</v>
      </c>
      <c r="U28" s="21">
        <v>1.0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1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1.0</v>
      </c>
      <c r="AH28" s="25">
        <v>0.0</v>
      </c>
      <c r="AI28" s="25">
        <v>0.0</v>
      </c>
      <c r="AJ28" s="25">
        <v>0.0</v>
      </c>
      <c r="AK28" s="25">
        <v>0.0</v>
      </c>
      <c r="AL28" s="26">
        <f t="shared" si="6"/>
        <v>1</v>
      </c>
      <c r="AM28" s="27">
        <f t="shared" si="7"/>
        <v>3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4">
        <v>1.0</v>
      </c>
      <c r="F29" s="15">
        <v>0.0</v>
      </c>
      <c r="G29" s="15">
        <v>0.0</v>
      </c>
      <c r="H29" s="16">
        <f t="shared" si="9"/>
        <v>1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8">
        <f t="shared" si="2"/>
        <v>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1.0</v>
      </c>
      <c r="X29" s="21">
        <v>0.0</v>
      </c>
      <c r="Y29" s="21">
        <v>0.0</v>
      </c>
      <c r="Z29" s="22">
        <f t="shared" si="4"/>
        <v>1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1.0</v>
      </c>
      <c r="AH29" s="25">
        <v>1.0</v>
      </c>
      <c r="AI29" s="25">
        <v>0.0</v>
      </c>
      <c r="AJ29" s="25">
        <v>0.0</v>
      </c>
      <c r="AK29" s="25">
        <v>0.0</v>
      </c>
      <c r="AL29" s="26">
        <f t="shared" si="6"/>
        <v>2</v>
      </c>
      <c r="AM29" s="27">
        <f t="shared" si="7"/>
        <v>4</v>
      </c>
      <c r="AN29" s="28" t="str">
        <f t="shared" si="8"/>
        <v>Atenção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9"/>
        <v>0</v>
      </c>
      <c r="I30" s="17">
        <v>0.0</v>
      </c>
      <c r="J30" s="17">
        <v>0.0</v>
      </c>
      <c r="K30" s="17">
        <v>1.0</v>
      </c>
      <c r="L30" s="17">
        <v>0.0</v>
      </c>
      <c r="M30" s="17">
        <v>0.0</v>
      </c>
      <c r="N30" s="18">
        <f t="shared" si="2"/>
        <v>1</v>
      </c>
      <c r="O30" s="19">
        <v>0.0</v>
      </c>
      <c r="P30" s="31">
        <v>0.0</v>
      </c>
      <c r="Q30" s="31">
        <v>1.0</v>
      </c>
      <c r="R30" s="19">
        <v>0.0</v>
      </c>
      <c r="S30" s="19">
        <v>0.0</v>
      </c>
      <c r="T30" s="20">
        <f t="shared" si="3"/>
        <v>1</v>
      </c>
      <c r="U30" s="21">
        <v>0.0</v>
      </c>
      <c r="V30" s="21">
        <v>0.0</v>
      </c>
      <c r="W30" s="21">
        <v>0.0</v>
      </c>
      <c r="X30" s="21">
        <v>0.0</v>
      </c>
      <c r="Y30" s="21">
        <v>0.0</v>
      </c>
      <c r="Z30" s="22">
        <f t="shared" si="4"/>
        <v>0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1.0</v>
      </c>
      <c r="AH30" s="25">
        <v>1.0</v>
      </c>
      <c r="AI30" s="25">
        <v>0.0</v>
      </c>
      <c r="AJ30" s="25">
        <v>0.0</v>
      </c>
      <c r="AK30" s="25">
        <v>0.0</v>
      </c>
      <c r="AL30" s="26">
        <f t="shared" si="6"/>
        <v>2</v>
      </c>
      <c r="AM30" s="27">
        <f t="shared" si="7"/>
        <v>4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9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31">
        <v>0.0</v>
      </c>
      <c r="P31" s="31">
        <v>1.0</v>
      </c>
      <c r="Q31" s="19">
        <v>0.0</v>
      </c>
      <c r="R31" s="19">
        <v>0.0</v>
      </c>
      <c r="S31" s="19">
        <v>1.0</v>
      </c>
      <c r="T31" s="20">
        <f t="shared" si="3"/>
        <v>2</v>
      </c>
      <c r="U31" s="21">
        <v>0.0</v>
      </c>
      <c r="V31" s="21">
        <v>1.0</v>
      </c>
      <c r="W31" s="21">
        <v>0.0</v>
      </c>
      <c r="X31" s="21">
        <v>0.0</v>
      </c>
      <c r="Y31" s="21">
        <v>0.0</v>
      </c>
      <c r="Z31" s="22">
        <f t="shared" si="4"/>
        <v>1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1.0</v>
      </c>
      <c r="AH31" s="25">
        <v>0.0</v>
      </c>
      <c r="AI31" s="25">
        <v>0.0</v>
      </c>
      <c r="AJ31" s="25">
        <v>0.0</v>
      </c>
      <c r="AK31" s="25">
        <v>0.0</v>
      </c>
      <c r="AL31" s="26">
        <f t="shared" si="6"/>
        <v>1</v>
      </c>
      <c r="AM31" s="27">
        <f t="shared" si="7"/>
        <v>5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9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20">
        <f t="shared" si="3"/>
        <v>1</v>
      </c>
      <c r="U32" s="21">
        <v>1.0</v>
      </c>
      <c r="V32" s="21">
        <v>0.0</v>
      </c>
      <c r="W32" s="21">
        <v>1.0</v>
      </c>
      <c r="X32" s="21">
        <v>0.0</v>
      </c>
      <c r="Y32" s="21">
        <v>0.0</v>
      </c>
      <c r="Z32" s="22">
        <f t="shared" si="4"/>
        <v>2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1.0</v>
      </c>
      <c r="AH32" s="25">
        <v>1.0</v>
      </c>
      <c r="AI32" s="25">
        <v>0.0</v>
      </c>
      <c r="AJ32" s="25">
        <v>0.0</v>
      </c>
      <c r="AK32" s="25">
        <v>0.0</v>
      </c>
      <c r="AL32" s="35">
        <v>2.0</v>
      </c>
      <c r="AM32" s="27">
        <f t="shared" si="7"/>
        <v>5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5">
        <v>0.0</v>
      </c>
      <c r="D3" s="15">
        <v>0.0</v>
      </c>
      <c r="E3" s="15">
        <v>1.0</v>
      </c>
      <c r="F3" s="15">
        <v>0.0</v>
      </c>
      <c r="G3" s="15">
        <v>0.0</v>
      </c>
      <c r="H3" s="16">
        <f t="shared" ref="H3:H32" si="1">SUM(C3:G3)</f>
        <v>1</v>
      </c>
      <c r="I3" s="17">
        <v>0.0</v>
      </c>
      <c r="J3" s="17">
        <v>1.0</v>
      </c>
      <c r="K3" s="17">
        <v>0.0</v>
      </c>
      <c r="L3" s="17">
        <v>0.0</v>
      </c>
      <c r="M3" s="17">
        <v>0.0</v>
      </c>
      <c r="N3" s="18">
        <f t="shared" ref="N3:N32" si="2">SUM(I3:M3)</f>
        <v>1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2">
        <f t="shared" ref="Z3:Z32" si="4">SUM(U3:Y3)</f>
        <v>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1.0</v>
      </c>
      <c r="AH3" s="25">
        <v>0.0</v>
      </c>
      <c r="AI3" s="25">
        <v>1.0</v>
      </c>
      <c r="AJ3" s="25">
        <v>1.0</v>
      </c>
      <c r="AK3" s="25">
        <v>1.0</v>
      </c>
      <c r="AL3" s="26">
        <f t="shared" ref="AL3:AL32" si="6">SUM(AG3:AK3)</f>
        <v>4</v>
      </c>
      <c r="AM3" s="27">
        <f t="shared" ref="AM3:AM32" si="7">H3+N3+T3+Z3+AF3+AL3</f>
        <v>6</v>
      </c>
      <c r="AN3" s="28" t="str">
        <f t="shared" ref="AN3:AN32" si="8">IF(AM3=0,"Conforme",IF(AM3&lt;=12,"Atenção","Crítico"))</f>
        <v>Atenção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1.0</v>
      </c>
      <c r="AH4" s="25">
        <v>0.0</v>
      </c>
      <c r="AI4" s="25">
        <v>1.0</v>
      </c>
      <c r="AJ4" s="25">
        <v>1.0</v>
      </c>
      <c r="AK4" s="25">
        <v>1.0</v>
      </c>
      <c r="AL4" s="26">
        <f t="shared" si="6"/>
        <v>4</v>
      </c>
      <c r="AM4" s="27">
        <f t="shared" si="7"/>
        <v>5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5">
        <v>1.0</v>
      </c>
      <c r="F5" s="15">
        <v>0.0</v>
      </c>
      <c r="G5" s="15">
        <v>0.0</v>
      </c>
      <c r="H5" s="16">
        <f t="shared" si="1"/>
        <v>1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20">
        <f t="shared" si="3"/>
        <v>0</v>
      </c>
      <c r="U5" s="21">
        <v>0.0</v>
      </c>
      <c r="V5" s="21">
        <v>0.0</v>
      </c>
      <c r="W5" s="21">
        <v>1.0</v>
      </c>
      <c r="X5" s="21">
        <v>0.0</v>
      </c>
      <c r="Y5" s="21">
        <v>0.0</v>
      </c>
      <c r="Z5" s="22">
        <f t="shared" si="4"/>
        <v>1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1.0</v>
      </c>
      <c r="AH5" s="25">
        <v>0.0</v>
      </c>
      <c r="AI5" s="25">
        <v>1.0</v>
      </c>
      <c r="AJ5" s="25">
        <v>1.0</v>
      </c>
      <c r="AK5" s="25">
        <v>1.0</v>
      </c>
      <c r="AL5" s="26">
        <f t="shared" si="6"/>
        <v>4</v>
      </c>
      <c r="AM5" s="27">
        <f t="shared" si="7"/>
        <v>6</v>
      </c>
      <c r="AN5" s="28" t="str">
        <f t="shared" si="8"/>
        <v>Atenção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20">
        <f t="shared" si="3"/>
        <v>1</v>
      </c>
      <c r="U6" s="21">
        <v>1.0</v>
      </c>
      <c r="V6" s="21">
        <v>0.0</v>
      </c>
      <c r="W6" s="21">
        <v>0.0</v>
      </c>
      <c r="X6" s="21">
        <v>0.0</v>
      </c>
      <c r="Y6" s="21">
        <v>0.0</v>
      </c>
      <c r="Z6" s="22">
        <f t="shared" si="4"/>
        <v>1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1.0</v>
      </c>
      <c r="AH6" s="25">
        <v>0.0</v>
      </c>
      <c r="AI6" s="25">
        <v>1.0</v>
      </c>
      <c r="AJ6" s="25">
        <v>1.0</v>
      </c>
      <c r="AK6" s="25">
        <v>1.0</v>
      </c>
      <c r="AL6" s="26">
        <f t="shared" si="6"/>
        <v>4</v>
      </c>
      <c r="AM6" s="27">
        <f t="shared" si="7"/>
        <v>6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1.0</v>
      </c>
      <c r="H7" s="16">
        <f t="shared" si="1"/>
        <v>1</v>
      </c>
      <c r="I7" s="17">
        <v>1.0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2</v>
      </c>
      <c r="O7" s="19">
        <v>0.0</v>
      </c>
      <c r="P7" s="19">
        <v>1.0</v>
      </c>
      <c r="Q7" s="19">
        <v>0.0</v>
      </c>
      <c r="R7" s="19">
        <v>1.0</v>
      </c>
      <c r="S7" s="19">
        <v>0.0</v>
      </c>
      <c r="T7" s="20">
        <f t="shared" si="3"/>
        <v>2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2">
        <f t="shared" si="4"/>
        <v>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0</v>
      </c>
      <c r="AG7" s="25">
        <v>1.0</v>
      </c>
      <c r="AH7" s="25">
        <v>0.0</v>
      </c>
      <c r="AI7" s="25">
        <v>1.0</v>
      </c>
      <c r="AJ7" s="25">
        <v>1.0</v>
      </c>
      <c r="AK7" s="25">
        <v>1.0</v>
      </c>
      <c r="AL7" s="26">
        <f t="shared" si="6"/>
        <v>4</v>
      </c>
      <c r="AM7" s="27">
        <f t="shared" si="7"/>
        <v>9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si="1"/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0</v>
      </c>
      <c r="U8" s="21">
        <v>1.0</v>
      </c>
      <c r="V8" s="21">
        <v>0.0</v>
      </c>
      <c r="W8" s="21">
        <v>0.0</v>
      </c>
      <c r="X8" s="21">
        <v>0.0</v>
      </c>
      <c r="Y8" s="21">
        <v>1.0</v>
      </c>
      <c r="Z8" s="22">
        <f t="shared" si="4"/>
        <v>2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1.0</v>
      </c>
      <c r="AH8" s="25">
        <v>1.0</v>
      </c>
      <c r="AI8" s="25">
        <v>1.0</v>
      </c>
      <c r="AJ8" s="25">
        <v>1.0</v>
      </c>
      <c r="AK8" s="25">
        <v>1.0</v>
      </c>
      <c r="AL8" s="26">
        <f t="shared" si="6"/>
        <v>5</v>
      </c>
      <c r="AM8" s="27">
        <f t="shared" si="7"/>
        <v>7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1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1.0</v>
      </c>
      <c r="P9" s="19">
        <v>1.0</v>
      </c>
      <c r="Q9" s="19">
        <v>0.0</v>
      </c>
      <c r="R9" s="19">
        <v>1.0</v>
      </c>
      <c r="S9" s="19">
        <v>0.0</v>
      </c>
      <c r="T9" s="20">
        <f t="shared" si="3"/>
        <v>3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2">
        <f t="shared" si="4"/>
        <v>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1.0</v>
      </c>
      <c r="AH9" s="25">
        <v>0.0</v>
      </c>
      <c r="AI9" s="25">
        <v>1.0</v>
      </c>
      <c r="AJ9" s="25">
        <v>1.0</v>
      </c>
      <c r="AK9" s="25">
        <v>1.0</v>
      </c>
      <c r="AL9" s="26">
        <f t="shared" si="6"/>
        <v>4</v>
      </c>
      <c r="AM9" s="27">
        <f t="shared" si="7"/>
        <v>8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1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1.0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1</v>
      </c>
      <c r="U10" s="21">
        <v>0.0</v>
      </c>
      <c r="V10" s="21">
        <v>0.0</v>
      </c>
      <c r="W10" s="21">
        <v>1.0</v>
      </c>
      <c r="X10" s="21">
        <v>0.0</v>
      </c>
      <c r="Y10" s="21">
        <v>0.0</v>
      </c>
      <c r="Z10" s="22">
        <f t="shared" si="4"/>
        <v>1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1.0</v>
      </c>
      <c r="AH10" s="25">
        <v>0.0</v>
      </c>
      <c r="AI10" s="25">
        <v>1.0</v>
      </c>
      <c r="AJ10" s="25">
        <v>1.0</v>
      </c>
      <c r="AK10" s="25">
        <v>1.0</v>
      </c>
      <c r="AL10" s="26">
        <f t="shared" si="6"/>
        <v>4</v>
      </c>
      <c r="AM10" s="27">
        <f t="shared" si="7"/>
        <v>6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5">
        <v>1.0</v>
      </c>
      <c r="F11" s="15">
        <v>0.0</v>
      </c>
      <c r="G11" s="15">
        <v>0.0</v>
      </c>
      <c r="H11" s="16">
        <f t="shared" si="1"/>
        <v>1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0</v>
      </c>
      <c r="U11" s="21">
        <v>0.0</v>
      </c>
      <c r="V11" s="21">
        <v>0.0</v>
      </c>
      <c r="W11" s="21">
        <v>0.0</v>
      </c>
      <c r="X11" s="21">
        <v>1.0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1.0</v>
      </c>
      <c r="AH11" s="25">
        <v>0.0</v>
      </c>
      <c r="AI11" s="25">
        <v>1.0</v>
      </c>
      <c r="AJ11" s="25">
        <v>1.0</v>
      </c>
      <c r="AK11" s="25">
        <v>1.0</v>
      </c>
      <c r="AL11" s="26">
        <f t="shared" si="6"/>
        <v>4</v>
      </c>
      <c r="AM11" s="27">
        <f t="shared" si="7"/>
        <v>6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1.0</v>
      </c>
      <c r="G12" s="15">
        <v>0.0</v>
      </c>
      <c r="H12" s="16">
        <f t="shared" si="1"/>
        <v>1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8">
        <f t="shared" si="2"/>
        <v>0</v>
      </c>
      <c r="O12" s="19">
        <v>0.0</v>
      </c>
      <c r="P12" s="19">
        <v>0.0</v>
      </c>
      <c r="Q12" s="19">
        <v>1.0</v>
      </c>
      <c r="R12" s="19">
        <v>0.0</v>
      </c>
      <c r="S12" s="19">
        <v>0.0</v>
      </c>
      <c r="T12" s="20">
        <f t="shared" si="3"/>
        <v>1</v>
      </c>
      <c r="U12" s="21">
        <v>0.0</v>
      </c>
      <c r="V12" s="21">
        <v>0.0</v>
      </c>
      <c r="W12" s="21">
        <v>0.0</v>
      </c>
      <c r="X12" s="21">
        <v>0.0</v>
      </c>
      <c r="Y12" s="21">
        <v>0.0</v>
      </c>
      <c r="Z12" s="22">
        <f t="shared" si="4"/>
        <v>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1.0</v>
      </c>
      <c r="AH12" s="25">
        <v>0.0</v>
      </c>
      <c r="AI12" s="25">
        <v>1.0</v>
      </c>
      <c r="AJ12" s="25">
        <v>1.0</v>
      </c>
      <c r="AK12" s="25">
        <v>1.0</v>
      </c>
      <c r="AL12" s="26">
        <f t="shared" si="6"/>
        <v>4</v>
      </c>
      <c r="AM12" s="27">
        <f t="shared" si="7"/>
        <v>6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1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20">
        <f t="shared" si="3"/>
        <v>0</v>
      </c>
      <c r="U13" s="21">
        <v>0.0</v>
      </c>
      <c r="V13" s="21">
        <v>0.0</v>
      </c>
      <c r="W13" s="21">
        <v>0.0</v>
      </c>
      <c r="X13" s="21">
        <v>0.0</v>
      </c>
      <c r="Y13" s="21">
        <v>0.0</v>
      </c>
      <c r="Z13" s="22">
        <f t="shared" si="4"/>
        <v>0</v>
      </c>
      <c r="AA13" s="23">
        <v>1.0</v>
      </c>
      <c r="AB13" s="23">
        <v>1.0</v>
      </c>
      <c r="AC13" s="23">
        <v>0.0</v>
      </c>
      <c r="AD13" s="23">
        <v>0.0</v>
      </c>
      <c r="AE13" s="23">
        <v>0.0</v>
      </c>
      <c r="AF13" s="24">
        <f t="shared" si="5"/>
        <v>2</v>
      </c>
      <c r="AG13" s="25">
        <v>1.0</v>
      </c>
      <c r="AH13" s="25">
        <v>0.0</v>
      </c>
      <c r="AI13" s="25">
        <v>1.0</v>
      </c>
      <c r="AJ13" s="25">
        <v>1.0</v>
      </c>
      <c r="AK13" s="25">
        <v>1.0</v>
      </c>
      <c r="AL13" s="26">
        <f t="shared" si="6"/>
        <v>4</v>
      </c>
      <c r="AM13" s="27">
        <f t="shared" si="7"/>
        <v>6</v>
      </c>
      <c r="AN13" s="28" t="str">
        <f t="shared" si="8"/>
        <v>Atenção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1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0.0</v>
      </c>
      <c r="X14" s="21">
        <v>0.0</v>
      </c>
      <c r="Y14" s="21">
        <v>0.0</v>
      </c>
      <c r="Z14" s="22">
        <f t="shared" si="4"/>
        <v>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1.0</v>
      </c>
      <c r="AH14" s="25">
        <v>0.0</v>
      </c>
      <c r="AI14" s="25">
        <v>1.0</v>
      </c>
      <c r="AJ14" s="25">
        <v>1.0</v>
      </c>
      <c r="AK14" s="25">
        <v>1.0</v>
      </c>
      <c r="AL14" s="26">
        <f t="shared" si="6"/>
        <v>4</v>
      </c>
      <c r="AM14" s="27">
        <f t="shared" si="7"/>
        <v>4</v>
      </c>
      <c r="AN14" s="28" t="str">
        <f t="shared" si="8"/>
        <v>Atenção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1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22">
        <f t="shared" si="4"/>
        <v>0</v>
      </c>
      <c r="AA15" s="23">
        <v>1.0</v>
      </c>
      <c r="AB15" s="23">
        <v>1.0</v>
      </c>
      <c r="AC15" s="23">
        <v>0.0</v>
      </c>
      <c r="AD15" s="23">
        <v>0.0</v>
      </c>
      <c r="AE15" s="23">
        <v>0.0</v>
      </c>
      <c r="AF15" s="24">
        <f t="shared" si="5"/>
        <v>2</v>
      </c>
      <c r="AG15" s="25">
        <v>1.0</v>
      </c>
      <c r="AH15" s="25">
        <v>0.0</v>
      </c>
      <c r="AI15" s="25">
        <v>1.0</v>
      </c>
      <c r="AJ15" s="25">
        <v>1.0</v>
      </c>
      <c r="AK15" s="25">
        <v>1.0</v>
      </c>
      <c r="AL15" s="26">
        <f t="shared" si="6"/>
        <v>4</v>
      </c>
      <c r="AM15" s="27">
        <f t="shared" si="7"/>
        <v>6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1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2">
        <f t="shared" si="4"/>
        <v>0</v>
      </c>
      <c r="AA16" s="23">
        <v>1.0</v>
      </c>
      <c r="AB16" s="23">
        <v>1.0</v>
      </c>
      <c r="AC16" s="23">
        <v>0.0</v>
      </c>
      <c r="AD16" s="23">
        <v>0.0</v>
      </c>
      <c r="AE16" s="23">
        <v>1.0</v>
      </c>
      <c r="AF16" s="24">
        <f t="shared" si="5"/>
        <v>3</v>
      </c>
      <c r="AG16" s="25">
        <v>1.0</v>
      </c>
      <c r="AH16" s="25">
        <v>0.0</v>
      </c>
      <c r="AI16" s="25">
        <v>1.0</v>
      </c>
      <c r="AJ16" s="25">
        <v>1.0</v>
      </c>
      <c r="AK16" s="25">
        <v>1.0</v>
      </c>
      <c r="AL16" s="26">
        <f t="shared" si="6"/>
        <v>4</v>
      </c>
      <c r="AM16" s="27">
        <f t="shared" si="7"/>
        <v>7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1"/>
        <v>0</v>
      </c>
      <c r="I17" s="17">
        <v>0.0</v>
      </c>
      <c r="J17" s="17">
        <v>1.0</v>
      </c>
      <c r="K17" s="17">
        <v>0.0</v>
      </c>
      <c r="L17" s="17">
        <v>0.0</v>
      </c>
      <c r="M17" s="17">
        <v>0.0</v>
      </c>
      <c r="N17" s="18">
        <f t="shared" si="2"/>
        <v>1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22">
        <f t="shared" si="4"/>
        <v>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1.0</v>
      </c>
      <c r="AH17" s="25">
        <v>0.0</v>
      </c>
      <c r="AI17" s="25">
        <v>1.0</v>
      </c>
      <c r="AJ17" s="25">
        <v>1.0</v>
      </c>
      <c r="AK17" s="25">
        <v>1.0</v>
      </c>
      <c r="AL17" s="26">
        <f t="shared" si="6"/>
        <v>4</v>
      </c>
      <c r="AM17" s="27">
        <f t="shared" si="7"/>
        <v>5</v>
      </c>
      <c r="AN17" s="28" t="str">
        <f t="shared" si="8"/>
        <v>Atenção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1"/>
        <v>0</v>
      </c>
      <c r="I18" s="17">
        <v>0.0</v>
      </c>
      <c r="J18" s="17">
        <v>0.0</v>
      </c>
      <c r="K18" s="17">
        <v>1.0</v>
      </c>
      <c r="L18" s="17">
        <v>0.0</v>
      </c>
      <c r="M18" s="17">
        <v>0.0</v>
      </c>
      <c r="N18" s="18">
        <f t="shared" si="2"/>
        <v>1</v>
      </c>
      <c r="O18" s="19">
        <v>0.0</v>
      </c>
      <c r="P18" s="19">
        <v>1.0</v>
      </c>
      <c r="Q18" s="19">
        <v>0.0</v>
      </c>
      <c r="R18" s="19">
        <v>0.0</v>
      </c>
      <c r="S18" s="19">
        <v>0.0</v>
      </c>
      <c r="T18" s="20">
        <f t="shared" si="3"/>
        <v>1</v>
      </c>
      <c r="U18" s="21">
        <v>0.0</v>
      </c>
      <c r="V18" s="21">
        <v>0.0</v>
      </c>
      <c r="W18" s="21">
        <v>0.0</v>
      </c>
      <c r="X18" s="21">
        <v>0.0</v>
      </c>
      <c r="Y18" s="21">
        <v>0.0</v>
      </c>
      <c r="Z18" s="22">
        <f t="shared" si="4"/>
        <v>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1.0</v>
      </c>
      <c r="AH18" s="25">
        <v>0.0</v>
      </c>
      <c r="AI18" s="25">
        <v>1.0</v>
      </c>
      <c r="AJ18" s="25">
        <v>1.0</v>
      </c>
      <c r="AK18" s="25">
        <v>1.0</v>
      </c>
      <c r="AL18" s="26">
        <f t="shared" si="6"/>
        <v>4</v>
      </c>
      <c r="AM18" s="27">
        <f t="shared" si="7"/>
        <v>6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1"/>
        <v>0</v>
      </c>
      <c r="I19" s="17">
        <v>0.0</v>
      </c>
      <c r="J19" s="17">
        <v>1.0</v>
      </c>
      <c r="K19" s="17">
        <v>0.0</v>
      </c>
      <c r="L19" s="17">
        <v>0.0</v>
      </c>
      <c r="M19" s="17">
        <v>0.0</v>
      </c>
      <c r="N19" s="18">
        <f t="shared" si="2"/>
        <v>1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0.0</v>
      </c>
      <c r="V19" s="21">
        <v>0.0</v>
      </c>
      <c r="W19" s="21">
        <v>0.0</v>
      </c>
      <c r="X19" s="21">
        <v>0.0</v>
      </c>
      <c r="Y19" s="21">
        <v>0.0</v>
      </c>
      <c r="Z19" s="22">
        <f t="shared" si="4"/>
        <v>0</v>
      </c>
      <c r="AA19" s="23">
        <v>1.0</v>
      </c>
      <c r="AB19" s="23">
        <v>1.0</v>
      </c>
      <c r="AC19" s="23">
        <v>0.0</v>
      </c>
      <c r="AD19" s="23">
        <v>0.0</v>
      </c>
      <c r="AE19" s="23">
        <v>1.0</v>
      </c>
      <c r="AF19" s="24">
        <f t="shared" si="5"/>
        <v>3</v>
      </c>
      <c r="AG19" s="25">
        <v>1.0</v>
      </c>
      <c r="AH19" s="25">
        <v>0.0</v>
      </c>
      <c r="AI19" s="25">
        <v>1.0</v>
      </c>
      <c r="AJ19" s="25">
        <v>1.0</v>
      </c>
      <c r="AK19" s="25">
        <v>1.0</v>
      </c>
      <c r="AL19" s="26">
        <f t="shared" si="6"/>
        <v>4</v>
      </c>
      <c r="AM19" s="27">
        <f t="shared" si="7"/>
        <v>8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5">
        <v>0.0</v>
      </c>
      <c r="E20" s="15">
        <v>0.0</v>
      </c>
      <c r="F20" s="15">
        <v>0.0</v>
      </c>
      <c r="G20" s="15">
        <v>0.0</v>
      </c>
      <c r="H20" s="16">
        <f t="shared" si="1"/>
        <v>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f t="shared" si="3"/>
        <v>0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1.0</v>
      </c>
      <c r="AH20" s="25">
        <v>0.0</v>
      </c>
      <c r="AI20" s="25">
        <v>1.0</v>
      </c>
      <c r="AJ20" s="25">
        <v>1.0</v>
      </c>
      <c r="AK20" s="25">
        <v>1.0</v>
      </c>
      <c r="AL20" s="26">
        <f t="shared" si="6"/>
        <v>4</v>
      </c>
      <c r="AM20" s="27">
        <f t="shared" si="7"/>
        <v>4</v>
      </c>
      <c r="AN20" s="28" t="str">
        <f t="shared" si="8"/>
        <v>Atenção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1"/>
        <v>0</v>
      </c>
      <c r="I21" s="17">
        <v>0.0</v>
      </c>
      <c r="J21" s="17">
        <v>0.0</v>
      </c>
      <c r="K21" s="17">
        <v>1.0</v>
      </c>
      <c r="L21" s="17">
        <v>0.0</v>
      </c>
      <c r="M21" s="17">
        <v>0.0</v>
      </c>
      <c r="N21" s="18">
        <f t="shared" si="2"/>
        <v>1</v>
      </c>
      <c r="O21" s="19">
        <v>1.0</v>
      </c>
      <c r="P21" s="19">
        <v>1.0</v>
      </c>
      <c r="Q21" s="19">
        <v>0.0</v>
      </c>
      <c r="R21" s="19">
        <v>0.0</v>
      </c>
      <c r="S21" s="19">
        <v>0.0</v>
      </c>
      <c r="T21" s="20">
        <f t="shared" si="3"/>
        <v>2</v>
      </c>
      <c r="U21" s="21">
        <v>0.0</v>
      </c>
      <c r="V21" s="21">
        <v>0.0</v>
      </c>
      <c r="W21" s="21">
        <v>0.0</v>
      </c>
      <c r="X21" s="21">
        <v>0.0</v>
      </c>
      <c r="Y21" s="21">
        <v>0.0</v>
      </c>
      <c r="Z21" s="22">
        <f t="shared" si="4"/>
        <v>0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0</v>
      </c>
      <c r="AG21" s="25">
        <v>1.0</v>
      </c>
      <c r="AH21" s="25">
        <v>0.0</v>
      </c>
      <c r="AI21" s="25">
        <v>1.0</v>
      </c>
      <c r="AJ21" s="25">
        <v>1.0</v>
      </c>
      <c r="AK21" s="25">
        <v>1.0</v>
      </c>
      <c r="AL21" s="26">
        <f t="shared" si="6"/>
        <v>4</v>
      </c>
      <c r="AM21" s="27">
        <f t="shared" si="7"/>
        <v>7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1"/>
        <v>0</v>
      </c>
      <c r="I22" s="17">
        <v>1.0</v>
      </c>
      <c r="J22" s="17">
        <v>0.0</v>
      </c>
      <c r="K22" s="17">
        <v>0.0</v>
      </c>
      <c r="L22" s="17">
        <v>0.0</v>
      </c>
      <c r="M22" s="17">
        <v>0.0</v>
      </c>
      <c r="N22" s="18">
        <f t="shared" si="2"/>
        <v>1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20">
        <f t="shared" si="3"/>
        <v>1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1.0</v>
      </c>
      <c r="AH22" s="25">
        <v>0.0</v>
      </c>
      <c r="AI22" s="25">
        <v>1.0</v>
      </c>
      <c r="AJ22" s="25">
        <v>1.0</v>
      </c>
      <c r="AK22" s="25">
        <v>1.0</v>
      </c>
      <c r="AL22" s="26">
        <f t="shared" si="6"/>
        <v>4</v>
      </c>
      <c r="AM22" s="27">
        <f t="shared" si="7"/>
        <v>6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1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1.0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1</v>
      </c>
      <c r="AG23" s="25">
        <v>1.0</v>
      </c>
      <c r="AH23" s="25">
        <v>0.0</v>
      </c>
      <c r="AI23" s="25">
        <v>1.0</v>
      </c>
      <c r="AJ23" s="25">
        <v>1.0</v>
      </c>
      <c r="AK23" s="25">
        <v>1.0</v>
      </c>
      <c r="AL23" s="26">
        <f t="shared" si="6"/>
        <v>4</v>
      </c>
      <c r="AM23" s="27">
        <f t="shared" si="7"/>
        <v>5</v>
      </c>
      <c r="AN23" s="28" t="str">
        <f t="shared" si="8"/>
        <v>Atenção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1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1.0</v>
      </c>
      <c r="AH24" s="25">
        <v>0.0</v>
      </c>
      <c r="AI24" s="25">
        <v>1.0</v>
      </c>
      <c r="AJ24" s="25">
        <v>1.0</v>
      </c>
      <c r="AK24" s="25">
        <v>1.0</v>
      </c>
      <c r="AL24" s="26">
        <f t="shared" si="6"/>
        <v>4</v>
      </c>
      <c r="AM24" s="27">
        <f t="shared" si="7"/>
        <v>4</v>
      </c>
      <c r="AN24" s="28" t="str">
        <f t="shared" si="8"/>
        <v>Atenção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1"/>
        <v>0</v>
      </c>
      <c r="I25" s="17">
        <v>0.0</v>
      </c>
      <c r="J25" s="17">
        <v>1.0</v>
      </c>
      <c r="K25" s="17">
        <v>0.0</v>
      </c>
      <c r="L25" s="17">
        <v>0.0</v>
      </c>
      <c r="M25" s="17">
        <v>0.0</v>
      </c>
      <c r="N25" s="18">
        <f t="shared" si="2"/>
        <v>1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1.0</v>
      </c>
      <c r="AH25" s="25">
        <v>0.0</v>
      </c>
      <c r="AI25" s="25">
        <v>1.0</v>
      </c>
      <c r="AJ25" s="25">
        <v>1.0</v>
      </c>
      <c r="AK25" s="25">
        <v>1.0</v>
      </c>
      <c r="AL25" s="26">
        <f t="shared" si="6"/>
        <v>4</v>
      </c>
      <c r="AM25" s="27">
        <f t="shared" si="7"/>
        <v>5</v>
      </c>
      <c r="AN25" s="28" t="str">
        <f t="shared" si="8"/>
        <v>Atenção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1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1.0</v>
      </c>
      <c r="AH26" s="25">
        <v>0.0</v>
      </c>
      <c r="AI26" s="25">
        <v>1.0</v>
      </c>
      <c r="AJ26" s="25">
        <v>1.0</v>
      </c>
      <c r="AK26" s="25">
        <v>1.0</v>
      </c>
      <c r="AL26" s="26">
        <f t="shared" si="6"/>
        <v>4</v>
      </c>
      <c r="AM26" s="27">
        <f t="shared" si="7"/>
        <v>4</v>
      </c>
      <c r="AN26" s="28" t="str">
        <f t="shared" si="8"/>
        <v>Atenção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1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8">
        <f t="shared" si="2"/>
        <v>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1.0</v>
      </c>
      <c r="AH27" s="25">
        <v>0.0</v>
      </c>
      <c r="AI27" s="25">
        <v>1.0</v>
      </c>
      <c r="AJ27" s="25">
        <v>1.0</v>
      </c>
      <c r="AK27" s="25">
        <v>1.0</v>
      </c>
      <c r="AL27" s="26">
        <f t="shared" si="6"/>
        <v>4</v>
      </c>
      <c r="AM27" s="27">
        <f t="shared" si="7"/>
        <v>4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1"/>
        <v>0</v>
      </c>
      <c r="I28" s="17">
        <v>0.0</v>
      </c>
      <c r="J28" s="17">
        <v>1.0</v>
      </c>
      <c r="K28" s="17">
        <v>0.0</v>
      </c>
      <c r="L28" s="17">
        <v>0.0</v>
      </c>
      <c r="M28" s="17">
        <v>0.0</v>
      </c>
      <c r="N28" s="18">
        <f t="shared" si="2"/>
        <v>1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f t="shared" si="3"/>
        <v>0</v>
      </c>
      <c r="U28" s="21">
        <v>0.0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1.0</v>
      </c>
      <c r="AH28" s="25">
        <v>0.0</v>
      </c>
      <c r="AI28" s="25">
        <v>1.0</v>
      </c>
      <c r="AJ28" s="25">
        <v>1.0</v>
      </c>
      <c r="AK28" s="25">
        <v>1.0</v>
      </c>
      <c r="AL28" s="26">
        <f t="shared" si="6"/>
        <v>4</v>
      </c>
      <c r="AM28" s="27">
        <f t="shared" si="7"/>
        <v>5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6">
        <f t="shared" si="1"/>
        <v>0</v>
      </c>
      <c r="I29" s="17">
        <v>0.0</v>
      </c>
      <c r="J29" s="17">
        <v>1.0</v>
      </c>
      <c r="K29" s="17">
        <v>0.0</v>
      </c>
      <c r="L29" s="17">
        <v>1.0</v>
      </c>
      <c r="M29" s="17">
        <v>0.0</v>
      </c>
      <c r="N29" s="18">
        <f t="shared" si="2"/>
        <v>2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22">
        <f t="shared" si="4"/>
        <v>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1.0</v>
      </c>
      <c r="AH29" s="25">
        <v>0.0</v>
      </c>
      <c r="AI29" s="25">
        <v>1.0</v>
      </c>
      <c r="AJ29" s="25">
        <v>1.0</v>
      </c>
      <c r="AK29" s="25">
        <v>1.0</v>
      </c>
      <c r="AL29" s="26">
        <f t="shared" si="6"/>
        <v>4</v>
      </c>
      <c r="AM29" s="27">
        <f t="shared" si="7"/>
        <v>6</v>
      </c>
      <c r="AN29" s="28" t="str">
        <f t="shared" si="8"/>
        <v>Atenção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1"/>
        <v>0</v>
      </c>
      <c r="I30" s="17">
        <v>0.0</v>
      </c>
      <c r="J30" s="17">
        <v>0.0</v>
      </c>
      <c r="K30" s="17">
        <v>1.0</v>
      </c>
      <c r="L30" s="17">
        <v>0.0</v>
      </c>
      <c r="M30" s="17">
        <v>0.0</v>
      </c>
      <c r="N30" s="18">
        <f t="shared" si="2"/>
        <v>1</v>
      </c>
      <c r="O30" s="19">
        <v>1.0</v>
      </c>
      <c r="P30" s="19">
        <v>0.0</v>
      </c>
      <c r="Q30" s="19">
        <v>0.0</v>
      </c>
      <c r="R30" s="19">
        <v>0.0</v>
      </c>
      <c r="S30" s="19">
        <v>0.0</v>
      </c>
      <c r="T30" s="20">
        <f t="shared" si="3"/>
        <v>1</v>
      </c>
      <c r="U30" s="21">
        <v>0.0</v>
      </c>
      <c r="V30" s="21">
        <v>0.0</v>
      </c>
      <c r="W30" s="21">
        <v>0.0</v>
      </c>
      <c r="X30" s="21">
        <v>0.0</v>
      </c>
      <c r="Y30" s="21">
        <v>0.0</v>
      </c>
      <c r="Z30" s="22">
        <f t="shared" si="4"/>
        <v>0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1.0</v>
      </c>
      <c r="AH30" s="25">
        <v>1.0</v>
      </c>
      <c r="AI30" s="25">
        <v>1.0</v>
      </c>
      <c r="AJ30" s="25">
        <v>1.0</v>
      </c>
      <c r="AK30" s="25">
        <v>1.0</v>
      </c>
      <c r="AL30" s="26">
        <f t="shared" si="6"/>
        <v>5</v>
      </c>
      <c r="AM30" s="27">
        <f t="shared" si="7"/>
        <v>7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1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19">
        <v>0.0</v>
      </c>
      <c r="P31" s="19">
        <v>1.0</v>
      </c>
      <c r="Q31" s="19">
        <v>0.0</v>
      </c>
      <c r="R31" s="19">
        <v>1.0</v>
      </c>
      <c r="S31" s="19">
        <v>0.0</v>
      </c>
      <c r="T31" s="20">
        <f t="shared" si="3"/>
        <v>2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22">
        <f t="shared" si="4"/>
        <v>0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1.0</v>
      </c>
      <c r="AH31" s="25">
        <v>0.0</v>
      </c>
      <c r="AI31" s="25">
        <v>1.0</v>
      </c>
      <c r="AJ31" s="25">
        <v>1.0</v>
      </c>
      <c r="AK31" s="25">
        <v>1.0</v>
      </c>
      <c r="AL31" s="26">
        <f t="shared" si="6"/>
        <v>4</v>
      </c>
      <c r="AM31" s="27">
        <f t="shared" si="7"/>
        <v>7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1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20">
        <f t="shared" si="3"/>
        <v>1</v>
      </c>
      <c r="U32" s="21">
        <v>0.0</v>
      </c>
      <c r="V32" s="21">
        <v>0.0</v>
      </c>
      <c r="W32" s="21">
        <v>0.0</v>
      </c>
      <c r="X32" s="21">
        <v>0.0</v>
      </c>
      <c r="Y32" s="21">
        <v>0.0</v>
      </c>
      <c r="Z32" s="22">
        <f t="shared" si="4"/>
        <v>0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1.0</v>
      </c>
      <c r="AH32" s="25">
        <v>0.0</v>
      </c>
      <c r="AI32" s="25">
        <v>1.0</v>
      </c>
      <c r="AJ32" s="25">
        <v>1.0</v>
      </c>
      <c r="AK32" s="25">
        <v>1.0</v>
      </c>
      <c r="AL32" s="26">
        <f t="shared" si="6"/>
        <v>4</v>
      </c>
      <c r="AM32" s="27">
        <f t="shared" si="7"/>
        <v>5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6">
        <f t="shared" ref="H3:H32" si="1">SUM(C3:G3)</f>
        <v>0</v>
      </c>
      <c r="I3" s="17">
        <v>0.0</v>
      </c>
      <c r="J3" s="17">
        <v>1.0</v>
      </c>
      <c r="K3" s="17">
        <v>0.0</v>
      </c>
      <c r="L3" s="17">
        <v>0.0</v>
      </c>
      <c r="M3" s="17">
        <v>1.0</v>
      </c>
      <c r="N3" s="18">
        <f t="shared" ref="N3:N32" si="2">SUM(I3:M3)</f>
        <v>2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2">
        <f t="shared" ref="Z3:Z32" si="4">SUM(U3:Y3)</f>
        <v>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1.0</v>
      </c>
      <c r="AH3" s="25">
        <v>1.0</v>
      </c>
      <c r="AI3" s="25">
        <v>1.0</v>
      </c>
      <c r="AJ3" s="25">
        <v>0.0</v>
      </c>
      <c r="AK3" s="25">
        <v>0.0</v>
      </c>
      <c r="AL3" s="26">
        <f t="shared" ref="AL3:AL32" si="6">SUM(AG3:AK3)</f>
        <v>3</v>
      </c>
      <c r="AM3" s="27">
        <f t="shared" ref="AM3:AM32" si="7">H3+N3+T3+Z3+AF3+AL3</f>
        <v>5</v>
      </c>
      <c r="AN3" s="28" t="str">
        <f t="shared" ref="AN3:AN32" si="8">IF(AM3=0,"Conforme",IF(AM3&lt;=12,"Atenção","Crítico"))</f>
        <v>Atenção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1.0</v>
      </c>
      <c r="AH4" s="25">
        <v>0.0</v>
      </c>
      <c r="AI4" s="25">
        <v>1.0</v>
      </c>
      <c r="AJ4" s="25">
        <v>0.0</v>
      </c>
      <c r="AK4" s="25">
        <v>0.0</v>
      </c>
      <c r="AL4" s="26">
        <f t="shared" si="6"/>
        <v>2</v>
      </c>
      <c r="AM4" s="27">
        <f t="shared" si="7"/>
        <v>3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5">
        <v>0.0</v>
      </c>
      <c r="F5" s="15">
        <v>0.0</v>
      </c>
      <c r="G5" s="15">
        <v>0.0</v>
      </c>
      <c r="H5" s="16">
        <f t="shared" si="1"/>
        <v>0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20">
        <f t="shared" si="3"/>
        <v>0</v>
      </c>
      <c r="U5" s="21">
        <v>0.0</v>
      </c>
      <c r="V5" s="21">
        <v>0.0</v>
      </c>
      <c r="W5" s="21">
        <v>0.0</v>
      </c>
      <c r="X5" s="21">
        <v>0.0</v>
      </c>
      <c r="Y5" s="21">
        <v>0.0</v>
      </c>
      <c r="Z5" s="22">
        <f t="shared" si="4"/>
        <v>0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1.0</v>
      </c>
      <c r="AH5" s="25">
        <v>0.0</v>
      </c>
      <c r="AI5" s="25">
        <v>0.0</v>
      </c>
      <c r="AJ5" s="25">
        <v>0.0</v>
      </c>
      <c r="AK5" s="25">
        <v>0.0</v>
      </c>
      <c r="AL5" s="26">
        <f t="shared" si="6"/>
        <v>1</v>
      </c>
      <c r="AM5" s="27">
        <f t="shared" si="7"/>
        <v>1</v>
      </c>
      <c r="AN5" s="28" t="str">
        <f t="shared" si="8"/>
        <v>Atenção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20">
        <f t="shared" si="3"/>
        <v>1</v>
      </c>
      <c r="U6" s="21">
        <v>0.0</v>
      </c>
      <c r="V6" s="21">
        <v>0.0</v>
      </c>
      <c r="W6" s="21">
        <v>0.0</v>
      </c>
      <c r="X6" s="21">
        <v>0.0</v>
      </c>
      <c r="Y6" s="21">
        <v>0.0</v>
      </c>
      <c r="Z6" s="22">
        <f t="shared" si="4"/>
        <v>0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1.0</v>
      </c>
      <c r="AH6" s="25">
        <v>0.0</v>
      </c>
      <c r="AI6" s="25">
        <v>0.0</v>
      </c>
      <c r="AJ6" s="25">
        <v>0.0</v>
      </c>
      <c r="AK6" s="25">
        <v>0.0</v>
      </c>
      <c r="AL6" s="26">
        <f t="shared" si="6"/>
        <v>1</v>
      </c>
      <c r="AM6" s="27">
        <f t="shared" si="7"/>
        <v>2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0.0</v>
      </c>
      <c r="H7" s="16">
        <f t="shared" si="1"/>
        <v>0</v>
      </c>
      <c r="I7" s="17">
        <v>0.0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1</v>
      </c>
      <c r="O7" s="19">
        <v>0.0</v>
      </c>
      <c r="P7" s="19">
        <v>0.0</v>
      </c>
      <c r="Q7" s="19">
        <v>0.0</v>
      </c>
      <c r="R7" s="19">
        <v>0.0</v>
      </c>
      <c r="S7" s="19">
        <v>0.0</v>
      </c>
      <c r="T7" s="20">
        <f t="shared" si="3"/>
        <v>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2">
        <f t="shared" si="4"/>
        <v>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0</v>
      </c>
      <c r="AG7" s="25">
        <v>1.0</v>
      </c>
      <c r="AH7" s="25">
        <v>0.0</v>
      </c>
      <c r="AI7" s="25">
        <v>0.0</v>
      </c>
      <c r="AJ7" s="25">
        <v>0.0</v>
      </c>
      <c r="AK7" s="25">
        <v>0.0</v>
      </c>
      <c r="AL7" s="26">
        <f t="shared" si="6"/>
        <v>1</v>
      </c>
      <c r="AM7" s="27">
        <f t="shared" si="7"/>
        <v>2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si="1"/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0</v>
      </c>
      <c r="U8" s="21">
        <v>1.0</v>
      </c>
      <c r="V8" s="21">
        <v>0.0</v>
      </c>
      <c r="W8" s="21">
        <v>0.0</v>
      </c>
      <c r="X8" s="21">
        <v>0.0</v>
      </c>
      <c r="Y8" s="21">
        <v>1.0</v>
      </c>
      <c r="Z8" s="22">
        <f t="shared" si="4"/>
        <v>2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1.0</v>
      </c>
      <c r="AH8" s="25">
        <v>1.0</v>
      </c>
      <c r="AI8" s="25">
        <v>0.0</v>
      </c>
      <c r="AJ8" s="25">
        <v>0.0</v>
      </c>
      <c r="AK8" s="25">
        <v>0.0</v>
      </c>
      <c r="AL8" s="26">
        <f t="shared" si="6"/>
        <v>2</v>
      </c>
      <c r="AM8" s="27">
        <f t="shared" si="7"/>
        <v>4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1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20">
        <f t="shared" si="3"/>
        <v>0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2">
        <f t="shared" si="4"/>
        <v>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1.0</v>
      </c>
      <c r="AH9" s="25">
        <v>0.0</v>
      </c>
      <c r="AI9" s="25">
        <v>0.0</v>
      </c>
      <c r="AJ9" s="25">
        <v>0.0</v>
      </c>
      <c r="AK9" s="25">
        <v>0.0</v>
      </c>
      <c r="AL9" s="26">
        <f t="shared" si="6"/>
        <v>1</v>
      </c>
      <c r="AM9" s="27">
        <f t="shared" si="7"/>
        <v>2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1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0</v>
      </c>
      <c r="U10" s="21">
        <v>0.0</v>
      </c>
      <c r="V10" s="21">
        <v>0.0</v>
      </c>
      <c r="W10" s="21">
        <v>1.0</v>
      </c>
      <c r="X10" s="21">
        <v>0.0</v>
      </c>
      <c r="Y10" s="21">
        <v>0.0</v>
      </c>
      <c r="Z10" s="22">
        <f t="shared" si="4"/>
        <v>1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1.0</v>
      </c>
      <c r="AH10" s="25">
        <v>0.0</v>
      </c>
      <c r="AI10" s="25">
        <v>0.0</v>
      </c>
      <c r="AJ10" s="25">
        <v>0.0</v>
      </c>
      <c r="AK10" s="25">
        <v>0.0</v>
      </c>
      <c r="AL10" s="26">
        <f t="shared" si="6"/>
        <v>1</v>
      </c>
      <c r="AM10" s="27">
        <f t="shared" si="7"/>
        <v>2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5">
        <v>0.0</v>
      </c>
      <c r="F11" s="15">
        <v>0.0</v>
      </c>
      <c r="G11" s="15">
        <v>0.0</v>
      </c>
      <c r="H11" s="16">
        <f t="shared" si="1"/>
        <v>0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0</v>
      </c>
      <c r="U11" s="21">
        <v>0.0</v>
      </c>
      <c r="V11" s="21">
        <v>0.0</v>
      </c>
      <c r="W11" s="21">
        <v>0.0</v>
      </c>
      <c r="X11" s="21">
        <v>1.0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1.0</v>
      </c>
      <c r="AH11" s="25">
        <v>0.0</v>
      </c>
      <c r="AI11" s="25">
        <v>0.0</v>
      </c>
      <c r="AJ11" s="25">
        <v>0.0</v>
      </c>
      <c r="AK11" s="25">
        <v>0.0</v>
      </c>
      <c r="AL11" s="26">
        <f t="shared" si="6"/>
        <v>1</v>
      </c>
      <c r="AM11" s="27">
        <f t="shared" si="7"/>
        <v>2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0.0</v>
      </c>
      <c r="G12" s="15">
        <v>0.0</v>
      </c>
      <c r="H12" s="16">
        <f t="shared" si="1"/>
        <v>0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8">
        <f t="shared" si="2"/>
        <v>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20">
        <f t="shared" si="3"/>
        <v>0</v>
      </c>
      <c r="U12" s="21">
        <v>0.0</v>
      </c>
      <c r="V12" s="21">
        <v>0.0</v>
      </c>
      <c r="W12" s="21">
        <v>0.0</v>
      </c>
      <c r="X12" s="21">
        <v>0.0</v>
      </c>
      <c r="Y12" s="21">
        <v>0.0</v>
      </c>
      <c r="Z12" s="22">
        <f t="shared" si="4"/>
        <v>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1.0</v>
      </c>
      <c r="AH12" s="25">
        <v>0.0</v>
      </c>
      <c r="AI12" s="25">
        <v>0.0</v>
      </c>
      <c r="AJ12" s="25">
        <v>0.0</v>
      </c>
      <c r="AK12" s="25">
        <v>0.0</v>
      </c>
      <c r="AL12" s="26">
        <f t="shared" si="6"/>
        <v>1</v>
      </c>
      <c r="AM12" s="27">
        <f t="shared" si="7"/>
        <v>1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1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20">
        <f t="shared" si="3"/>
        <v>0</v>
      </c>
      <c r="U13" s="21">
        <v>0.0</v>
      </c>
      <c r="V13" s="21">
        <v>0.0</v>
      </c>
      <c r="W13" s="21">
        <v>0.0</v>
      </c>
      <c r="X13" s="21">
        <v>0.0</v>
      </c>
      <c r="Y13" s="21">
        <v>0.0</v>
      </c>
      <c r="Z13" s="22">
        <f t="shared" si="4"/>
        <v>0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4">
        <f t="shared" si="5"/>
        <v>0</v>
      </c>
      <c r="AG13" s="25">
        <v>1.0</v>
      </c>
      <c r="AH13" s="25">
        <v>0.0</v>
      </c>
      <c r="AI13" s="25">
        <v>0.0</v>
      </c>
      <c r="AJ13" s="25">
        <v>0.0</v>
      </c>
      <c r="AK13" s="25">
        <v>0.0</v>
      </c>
      <c r="AL13" s="26">
        <f t="shared" si="6"/>
        <v>1</v>
      </c>
      <c r="AM13" s="27">
        <f t="shared" si="7"/>
        <v>1</v>
      </c>
      <c r="AN13" s="28" t="str">
        <f t="shared" si="8"/>
        <v>Atenção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1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0.0</v>
      </c>
      <c r="X14" s="21">
        <v>0.0</v>
      </c>
      <c r="Y14" s="21">
        <v>0.0</v>
      </c>
      <c r="Z14" s="22">
        <f t="shared" si="4"/>
        <v>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1.0</v>
      </c>
      <c r="AH14" s="25">
        <v>0.0</v>
      </c>
      <c r="AI14" s="25">
        <v>0.0</v>
      </c>
      <c r="AJ14" s="25">
        <v>0.0</v>
      </c>
      <c r="AK14" s="25">
        <v>0.0</v>
      </c>
      <c r="AL14" s="26">
        <f t="shared" si="6"/>
        <v>1</v>
      </c>
      <c r="AM14" s="27">
        <f t="shared" si="7"/>
        <v>1</v>
      </c>
      <c r="AN14" s="28" t="str">
        <f t="shared" si="8"/>
        <v>Atenção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1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22">
        <f t="shared" si="4"/>
        <v>0</v>
      </c>
      <c r="AA15" s="23">
        <v>1.0</v>
      </c>
      <c r="AB15" s="23">
        <v>1.0</v>
      </c>
      <c r="AC15" s="23">
        <v>0.0</v>
      </c>
      <c r="AD15" s="23">
        <v>0.0</v>
      </c>
      <c r="AE15" s="23">
        <v>0.0</v>
      </c>
      <c r="AF15" s="24">
        <f t="shared" si="5"/>
        <v>2</v>
      </c>
      <c r="AG15" s="25">
        <v>1.0</v>
      </c>
      <c r="AH15" s="25">
        <v>0.0</v>
      </c>
      <c r="AI15" s="25">
        <v>0.0</v>
      </c>
      <c r="AJ15" s="25">
        <v>0.0</v>
      </c>
      <c r="AK15" s="25">
        <v>0.0</v>
      </c>
      <c r="AL15" s="26">
        <f t="shared" si="6"/>
        <v>1</v>
      </c>
      <c r="AM15" s="27">
        <f t="shared" si="7"/>
        <v>3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1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2">
        <f t="shared" si="4"/>
        <v>0</v>
      </c>
      <c r="AA16" s="23">
        <v>1.0</v>
      </c>
      <c r="AB16" s="23">
        <v>1.0</v>
      </c>
      <c r="AC16" s="23">
        <v>0.0</v>
      </c>
      <c r="AD16" s="23">
        <v>0.0</v>
      </c>
      <c r="AE16" s="23">
        <v>0.0</v>
      </c>
      <c r="AF16" s="24">
        <f t="shared" si="5"/>
        <v>2</v>
      </c>
      <c r="AG16" s="25">
        <v>1.0</v>
      </c>
      <c r="AH16" s="25">
        <v>0.0</v>
      </c>
      <c r="AI16" s="25">
        <v>0.0</v>
      </c>
      <c r="AJ16" s="25">
        <v>0.0</v>
      </c>
      <c r="AK16" s="25">
        <v>0.0</v>
      </c>
      <c r="AL16" s="26">
        <f t="shared" si="6"/>
        <v>1</v>
      </c>
      <c r="AM16" s="27">
        <f t="shared" si="7"/>
        <v>3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1"/>
        <v>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8">
        <f t="shared" si="2"/>
        <v>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22">
        <f t="shared" si="4"/>
        <v>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1.0</v>
      </c>
      <c r="AH17" s="25">
        <v>0.0</v>
      </c>
      <c r="AI17" s="25">
        <v>0.0</v>
      </c>
      <c r="AJ17" s="25">
        <v>0.0</v>
      </c>
      <c r="AK17" s="25">
        <v>0.0</v>
      </c>
      <c r="AL17" s="26">
        <f t="shared" si="6"/>
        <v>1</v>
      </c>
      <c r="AM17" s="27">
        <f t="shared" si="7"/>
        <v>1</v>
      </c>
      <c r="AN17" s="28" t="str">
        <f t="shared" si="8"/>
        <v>Atenção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1"/>
        <v>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8">
        <f t="shared" si="2"/>
        <v>0</v>
      </c>
      <c r="O18" s="19">
        <v>0.0</v>
      </c>
      <c r="P18" s="19">
        <v>0.0</v>
      </c>
      <c r="Q18" s="19">
        <v>1.0</v>
      </c>
      <c r="R18" s="19">
        <v>0.0</v>
      </c>
      <c r="S18" s="19">
        <v>0.0</v>
      </c>
      <c r="T18" s="20">
        <f t="shared" si="3"/>
        <v>1</v>
      </c>
      <c r="U18" s="21">
        <v>0.0</v>
      </c>
      <c r="V18" s="21">
        <v>1.0</v>
      </c>
      <c r="W18" s="21">
        <v>0.0</v>
      </c>
      <c r="X18" s="21">
        <v>0.0</v>
      </c>
      <c r="Y18" s="21">
        <v>0.0</v>
      </c>
      <c r="Z18" s="22">
        <f t="shared" si="4"/>
        <v>1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1.0</v>
      </c>
      <c r="AH18" s="25">
        <v>0.0</v>
      </c>
      <c r="AI18" s="25">
        <v>0.0</v>
      </c>
      <c r="AJ18" s="25">
        <v>0.0</v>
      </c>
      <c r="AK18" s="25">
        <v>0.0</v>
      </c>
      <c r="AL18" s="26">
        <f t="shared" si="6"/>
        <v>1</v>
      </c>
      <c r="AM18" s="27">
        <f t="shared" si="7"/>
        <v>3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1"/>
        <v>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8">
        <f t="shared" si="2"/>
        <v>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0.0</v>
      </c>
      <c r="V19" s="21">
        <v>0.0</v>
      </c>
      <c r="W19" s="21">
        <v>0.0</v>
      </c>
      <c r="X19" s="21">
        <v>0.0</v>
      </c>
      <c r="Y19" s="21">
        <v>0.0</v>
      </c>
      <c r="Z19" s="22">
        <f t="shared" si="4"/>
        <v>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4">
        <f t="shared" si="5"/>
        <v>0</v>
      </c>
      <c r="AG19" s="25">
        <v>1.0</v>
      </c>
      <c r="AH19" s="25">
        <v>0.0</v>
      </c>
      <c r="AI19" s="25">
        <v>0.0</v>
      </c>
      <c r="AJ19" s="25">
        <v>0.0</v>
      </c>
      <c r="AK19" s="25">
        <v>0.0</v>
      </c>
      <c r="AL19" s="26">
        <f t="shared" si="6"/>
        <v>1</v>
      </c>
      <c r="AM19" s="27">
        <f t="shared" si="7"/>
        <v>1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5">
        <v>0.0</v>
      </c>
      <c r="E20" s="15">
        <v>0.0</v>
      </c>
      <c r="F20" s="15">
        <v>0.0</v>
      </c>
      <c r="G20" s="15">
        <v>0.0</v>
      </c>
      <c r="H20" s="16">
        <f t="shared" si="1"/>
        <v>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f t="shared" si="3"/>
        <v>0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1.0</v>
      </c>
      <c r="AH20" s="25">
        <v>0.0</v>
      </c>
      <c r="AI20" s="25">
        <v>0.0</v>
      </c>
      <c r="AJ20" s="25">
        <v>0.0</v>
      </c>
      <c r="AK20" s="25">
        <v>0.0</v>
      </c>
      <c r="AL20" s="26">
        <f t="shared" si="6"/>
        <v>1</v>
      </c>
      <c r="AM20" s="27">
        <f t="shared" si="7"/>
        <v>1</v>
      </c>
      <c r="AN20" s="28" t="str">
        <f t="shared" si="8"/>
        <v>Atenção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1"/>
        <v>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8">
        <f t="shared" si="2"/>
        <v>0</v>
      </c>
      <c r="O21" s="19">
        <v>0.0</v>
      </c>
      <c r="P21" s="19">
        <v>0.0</v>
      </c>
      <c r="Q21" s="19">
        <v>1.0</v>
      </c>
      <c r="R21" s="19">
        <v>0.0</v>
      </c>
      <c r="S21" s="19">
        <v>0.0</v>
      </c>
      <c r="T21" s="20">
        <f t="shared" si="3"/>
        <v>1</v>
      </c>
      <c r="U21" s="21">
        <v>0.0</v>
      </c>
      <c r="V21" s="21">
        <v>1.0</v>
      </c>
      <c r="W21" s="21">
        <v>0.0</v>
      </c>
      <c r="X21" s="21">
        <v>0.0</v>
      </c>
      <c r="Y21" s="21">
        <v>0.0</v>
      </c>
      <c r="Z21" s="22">
        <f t="shared" si="4"/>
        <v>1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0</v>
      </c>
      <c r="AG21" s="25">
        <v>1.0</v>
      </c>
      <c r="AH21" s="25">
        <v>0.0</v>
      </c>
      <c r="AI21" s="25">
        <v>0.0</v>
      </c>
      <c r="AJ21" s="25">
        <v>0.0</v>
      </c>
      <c r="AK21" s="25">
        <v>0.0</v>
      </c>
      <c r="AL21" s="26">
        <f t="shared" si="6"/>
        <v>1</v>
      </c>
      <c r="AM21" s="27">
        <f t="shared" si="7"/>
        <v>3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1"/>
        <v>0</v>
      </c>
      <c r="I22" s="17">
        <v>0.0</v>
      </c>
      <c r="J22" s="17">
        <v>0.0</v>
      </c>
      <c r="K22" s="17">
        <v>0.0</v>
      </c>
      <c r="L22" s="17">
        <v>1.0</v>
      </c>
      <c r="M22" s="17">
        <v>0.0</v>
      </c>
      <c r="N22" s="18">
        <f t="shared" si="2"/>
        <v>1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20">
        <f t="shared" si="3"/>
        <v>0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1.0</v>
      </c>
      <c r="AH22" s="25">
        <v>0.0</v>
      </c>
      <c r="AI22" s="25">
        <v>0.0</v>
      </c>
      <c r="AJ22" s="25">
        <v>0.0</v>
      </c>
      <c r="AK22" s="25">
        <v>0.0</v>
      </c>
      <c r="AL22" s="26">
        <f t="shared" si="6"/>
        <v>1</v>
      </c>
      <c r="AM22" s="27">
        <f t="shared" si="7"/>
        <v>2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1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0</v>
      </c>
      <c r="AG23" s="25">
        <v>1.0</v>
      </c>
      <c r="AH23" s="25">
        <v>0.0</v>
      </c>
      <c r="AI23" s="25">
        <v>0.0</v>
      </c>
      <c r="AJ23" s="25">
        <v>0.0</v>
      </c>
      <c r="AK23" s="25">
        <v>0.0</v>
      </c>
      <c r="AL23" s="26">
        <f t="shared" si="6"/>
        <v>1</v>
      </c>
      <c r="AM23" s="27">
        <f t="shared" si="7"/>
        <v>1</v>
      </c>
      <c r="AN23" s="28" t="str">
        <f t="shared" si="8"/>
        <v>Atenção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1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1.0</v>
      </c>
      <c r="AH24" s="25">
        <v>0.0</v>
      </c>
      <c r="AI24" s="25">
        <v>1.0</v>
      </c>
      <c r="AJ24" s="25">
        <v>0.0</v>
      </c>
      <c r="AK24" s="25">
        <v>0.0</v>
      </c>
      <c r="AL24" s="26">
        <f t="shared" si="6"/>
        <v>2</v>
      </c>
      <c r="AM24" s="27">
        <f t="shared" si="7"/>
        <v>2</v>
      </c>
      <c r="AN24" s="28" t="str">
        <f t="shared" si="8"/>
        <v>Atenção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1"/>
        <v>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8">
        <f t="shared" si="2"/>
        <v>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1.0</v>
      </c>
      <c r="AH25" s="25">
        <v>0.0</v>
      </c>
      <c r="AI25" s="25">
        <v>0.0</v>
      </c>
      <c r="AJ25" s="25">
        <v>0.0</v>
      </c>
      <c r="AK25" s="25">
        <v>0.0</v>
      </c>
      <c r="AL25" s="26">
        <f t="shared" si="6"/>
        <v>1</v>
      </c>
      <c r="AM25" s="27">
        <f t="shared" si="7"/>
        <v>1</v>
      </c>
      <c r="AN25" s="28" t="str">
        <f t="shared" si="8"/>
        <v>Atenção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1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1.0</v>
      </c>
      <c r="AH26" s="25">
        <v>0.0</v>
      </c>
      <c r="AI26" s="25">
        <v>0.0</v>
      </c>
      <c r="AJ26" s="25">
        <v>0.0</v>
      </c>
      <c r="AK26" s="25">
        <v>0.0</v>
      </c>
      <c r="AL26" s="26">
        <f t="shared" si="6"/>
        <v>1</v>
      </c>
      <c r="AM26" s="27">
        <f t="shared" si="7"/>
        <v>1</v>
      </c>
      <c r="AN26" s="28" t="str">
        <f t="shared" si="8"/>
        <v>Atenção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1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8">
        <f t="shared" si="2"/>
        <v>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1.0</v>
      </c>
      <c r="AH27" s="25">
        <v>0.0</v>
      </c>
      <c r="AI27" s="25">
        <v>1.0</v>
      </c>
      <c r="AJ27" s="25">
        <v>0.0</v>
      </c>
      <c r="AK27" s="25">
        <v>0.0</v>
      </c>
      <c r="AL27" s="26">
        <f t="shared" si="6"/>
        <v>2</v>
      </c>
      <c r="AM27" s="27">
        <f t="shared" si="7"/>
        <v>2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1"/>
        <v>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8">
        <f t="shared" si="2"/>
        <v>0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f t="shared" si="3"/>
        <v>0</v>
      </c>
      <c r="U28" s="21">
        <v>0.0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1.0</v>
      </c>
      <c r="AH28" s="25">
        <v>0.0</v>
      </c>
      <c r="AI28" s="25">
        <v>0.0</v>
      </c>
      <c r="AJ28" s="25">
        <v>1.0</v>
      </c>
      <c r="AK28" s="25">
        <v>0.0</v>
      </c>
      <c r="AL28" s="26">
        <f t="shared" si="6"/>
        <v>2</v>
      </c>
      <c r="AM28" s="27">
        <f t="shared" si="7"/>
        <v>2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6">
        <f t="shared" si="1"/>
        <v>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8">
        <f t="shared" si="2"/>
        <v>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22">
        <f t="shared" si="4"/>
        <v>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1.0</v>
      </c>
      <c r="AH29" s="25">
        <v>0.0</v>
      </c>
      <c r="AI29" s="25">
        <v>0.0</v>
      </c>
      <c r="AJ29" s="25">
        <v>0.0</v>
      </c>
      <c r="AK29" s="25">
        <v>0.0</v>
      </c>
      <c r="AL29" s="26">
        <f t="shared" si="6"/>
        <v>1</v>
      </c>
      <c r="AM29" s="27">
        <f t="shared" si="7"/>
        <v>1</v>
      </c>
      <c r="AN29" s="28" t="str">
        <f t="shared" si="8"/>
        <v>Atenção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1"/>
        <v>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8">
        <f t="shared" si="2"/>
        <v>0</v>
      </c>
      <c r="O30" s="19">
        <v>0.0</v>
      </c>
      <c r="P30" s="19">
        <v>0.0</v>
      </c>
      <c r="Q30" s="19">
        <v>1.0</v>
      </c>
      <c r="R30" s="19">
        <v>0.0</v>
      </c>
      <c r="S30" s="19">
        <v>0.0</v>
      </c>
      <c r="T30" s="20">
        <f t="shared" si="3"/>
        <v>1</v>
      </c>
      <c r="U30" s="21">
        <v>0.0</v>
      </c>
      <c r="V30" s="21">
        <v>0.0</v>
      </c>
      <c r="W30" s="21">
        <v>0.0</v>
      </c>
      <c r="X30" s="21">
        <v>0.0</v>
      </c>
      <c r="Y30" s="21">
        <v>0.0</v>
      </c>
      <c r="Z30" s="22">
        <f t="shared" si="4"/>
        <v>0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1.0</v>
      </c>
      <c r="AH30" s="25">
        <v>1.0</v>
      </c>
      <c r="AI30" s="25">
        <v>0.0</v>
      </c>
      <c r="AJ30" s="25">
        <v>0.0</v>
      </c>
      <c r="AK30" s="25">
        <v>0.0</v>
      </c>
      <c r="AL30" s="26">
        <f t="shared" si="6"/>
        <v>2</v>
      </c>
      <c r="AM30" s="27">
        <f t="shared" si="7"/>
        <v>3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1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19">
        <v>0.0</v>
      </c>
      <c r="P31" s="19">
        <v>1.0</v>
      </c>
      <c r="Q31" s="19">
        <v>0.0</v>
      </c>
      <c r="R31" s="19">
        <v>0.0</v>
      </c>
      <c r="S31" s="19">
        <v>0.0</v>
      </c>
      <c r="T31" s="20">
        <f t="shared" si="3"/>
        <v>1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22">
        <f t="shared" si="4"/>
        <v>0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1.0</v>
      </c>
      <c r="AH31" s="25">
        <v>0.0</v>
      </c>
      <c r="AI31" s="25">
        <v>0.0</v>
      </c>
      <c r="AJ31" s="25">
        <v>0.0</v>
      </c>
      <c r="AK31" s="25">
        <v>0.0</v>
      </c>
      <c r="AL31" s="26">
        <f t="shared" si="6"/>
        <v>1</v>
      </c>
      <c r="AM31" s="27">
        <f t="shared" si="7"/>
        <v>3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1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20">
        <f t="shared" si="3"/>
        <v>1</v>
      </c>
      <c r="U32" s="21">
        <v>0.0</v>
      </c>
      <c r="V32" s="21">
        <v>0.0</v>
      </c>
      <c r="W32" s="21">
        <v>0.0</v>
      </c>
      <c r="X32" s="21">
        <v>0.0</v>
      </c>
      <c r="Y32" s="21">
        <v>0.0</v>
      </c>
      <c r="Z32" s="22">
        <f t="shared" si="4"/>
        <v>0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1.0</v>
      </c>
      <c r="AH32" s="25">
        <v>0.0</v>
      </c>
      <c r="AI32" s="25">
        <v>0.0</v>
      </c>
      <c r="AJ32" s="25">
        <v>0.0</v>
      </c>
      <c r="AK32" s="25">
        <v>0.0</v>
      </c>
      <c r="AL32" s="26">
        <f t="shared" si="6"/>
        <v>1</v>
      </c>
      <c r="AM32" s="27">
        <f t="shared" si="7"/>
        <v>2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5">
        <v>0.0</v>
      </c>
      <c r="D3" s="15">
        <v>0.0</v>
      </c>
      <c r="E3" s="15">
        <v>1.0</v>
      </c>
      <c r="F3" s="15">
        <v>0.0</v>
      </c>
      <c r="G3" s="15">
        <v>0.0</v>
      </c>
      <c r="H3" s="16">
        <f t="shared" ref="H3:H32" si="1">SUM(C3:G3)</f>
        <v>1</v>
      </c>
      <c r="I3" s="17">
        <v>0.0</v>
      </c>
      <c r="J3" s="17">
        <v>1.0</v>
      </c>
      <c r="K3" s="17">
        <v>0.0</v>
      </c>
      <c r="L3" s="17">
        <v>0.0</v>
      </c>
      <c r="M3" s="17">
        <v>0.0</v>
      </c>
      <c r="N3" s="18">
        <f t="shared" ref="N3:N32" si="2">SUM(I3:M3)</f>
        <v>1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2">
        <f t="shared" ref="Z3:Z32" si="4">SUM(U3:Y3)</f>
        <v>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1.0</v>
      </c>
      <c r="AH3" s="25">
        <v>0.0</v>
      </c>
      <c r="AI3" s="25">
        <v>1.0</v>
      </c>
      <c r="AJ3" s="25">
        <v>1.0</v>
      </c>
      <c r="AK3" s="25">
        <v>1.0</v>
      </c>
      <c r="AL3" s="26">
        <f t="shared" ref="AL3:AL32" si="6">SUM(AG3:AK3)</f>
        <v>4</v>
      </c>
      <c r="AM3" s="27">
        <f t="shared" ref="AM3:AM32" si="7">H3+N3+T3+Z3+AF3+AL3</f>
        <v>6</v>
      </c>
      <c r="AN3" s="28" t="str">
        <f t="shared" ref="AN3:AN32" si="8">IF(AM3=0,"Conforme",IF(AM3&lt;=12,"Atenção","Crítico"))</f>
        <v>Atenção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1.0</v>
      </c>
      <c r="AH4" s="25">
        <v>0.0</v>
      </c>
      <c r="AI4" s="25">
        <v>1.0</v>
      </c>
      <c r="AJ4" s="25">
        <v>1.0</v>
      </c>
      <c r="AK4" s="25">
        <v>1.0</v>
      </c>
      <c r="AL4" s="26">
        <f t="shared" si="6"/>
        <v>4</v>
      </c>
      <c r="AM4" s="27">
        <f t="shared" si="7"/>
        <v>5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5">
        <v>1.0</v>
      </c>
      <c r="F5" s="15">
        <v>0.0</v>
      </c>
      <c r="G5" s="15">
        <v>0.0</v>
      </c>
      <c r="H5" s="16">
        <f t="shared" si="1"/>
        <v>1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20">
        <f t="shared" si="3"/>
        <v>0</v>
      </c>
      <c r="U5" s="21">
        <v>0.0</v>
      </c>
      <c r="V5" s="21">
        <v>0.0</v>
      </c>
      <c r="W5" s="21">
        <v>1.0</v>
      </c>
      <c r="X5" s="21">
        <v>0.0</v>
      </c>
      <c r="Y5" s="21">
        <v>0.0</v>
      </c>
      <c r="Z5" s="22">
        <f t="shared" si="4"/>
        <v>1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1.0</v>
      </c>
      <c r="AH5" s="25">
        <v>0.0</v>
      </c>
      <c r="AI5" s="25">
        <v>1.0</v>
      </c>
      <c r="AJ5" s="25">
        <v>1.0</v>
      </c>
      <c r="AK5" s="25">
        <v>1.0</v>
      </c>
      <c r="AL5" s="26">
        <f t="shared" si="6"/>
        <v>4</v>
      </c>
      <c r="AM5" s="27">
        <f t="shared" si="7"/>
        <v>6</v>
      </c>
      <c r="AN5" s="28" t="str">
        <f t="shared" si="8"/>
        <v>Atenção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20">
        <f t="shared" si="3"/>
        <v>1</v>
      </c>
      <c r="U6" s="21">
        <v>1.0</v>
      </c>
      <c r="V6" s="21">
        <v>0.0</v>
      </c>
      <c r="W6" s="21">
        <v>0.0</v>
      </c>
      <c r="X6" s="21">
        <v>0.0</v>
      </c>
      <c r="Y6" s="21">
        <v>0.0</v>
      </c>
      <c r="Z6" s="22">
        <f t="shared" si="4"/>
        <v>1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1.0</v>
      </c>
      <c r="AH6" s="25">
        <v>0.0</v>
      </c>
      <c r="AI6" s="25">
        <v>1.0</v>
      </c>
      <c r="AJ6" s="25">
        <v>1.0</v>
      </c>
      <c r="AK6" s="25">
        <v>1.0</v>
      </c>
      <c r="AL6" s="26">
        <f t="shared" si="6"/>
        <v>4</v>
      </c>
      <c r="AM6" s="27">
        <f t="shared" si="7"/>
        <v>6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1.0</v>
      </c>
      <c r="H7" s="16">
        <f t="shared" si="1"/>
        <v>1</v>
      </c>
      <c r="I7" s="17">
        <v>0.0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1</v>
      </c>
      <c r="O7" s="19">
        <v>0.0</v>
      </c>
      <c r="P7" s="19">
        <v>1.0</v>
      </c>
      <c r="Q7" s="19">
        <v>0.0</v>
      </c>
      <c r="R7" s="19">
        <v>0.0</v>
      </c>
      <c r="S7" s="19">
        <v>0.0</v>
      </c>
      <c r="T7" s="20">
        <f t="shared" si="3"/>
        <v>1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2">
        <f t="shared" si="4"/>
        <v>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0</v>
      </c>
      <c r="AG7" s="25">
        <v>1.0</v>
      </c>
      <c r="AH7" s="25">
        <v>0.0</v>
      </c>
      <c r="AI7" s="25">
        <v>1.0</v>
      </c>
      <c r="AJ7" s="25">
        <v>1.0</v>
      </c>
      <c r="AK7" s="25">
        <v>1.0</v>
      </c>
      <c r="AL7" s="26">
        <f t="shared" si="6"/>
        <v>4</v>
      </c>
      <c r="AM7" s="27">
        <f t="shared" si="7"/>
        <v>7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si="1"/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1.0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1</v>
      </c>
      <c r="U8" s="21">
        <v>1.0</v>
      </c>
      <c r="V8" s="21">
        <v>0.0</v>
      </c>
      <c r="W8" s="21">
        <v>0.0</v>
      </c>
      <c r="X8" s="21">
        <v>0.0</v>
      </c>
      <c r="Y8" s="21">
        <v>1.0</v>
      </c>
      <c r="Z8" s="22">
        <f t="shared" si="4"/>
        <v>2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1.0</v>
      </c>
      <c r="AH8" s="25">
        <v>1.0</v>
      </c>
      <c r="AI8" s="25">
        <v>1.0</v>
      </c>
      <c r="AJ8" s="25">
        <v>1.0</v>
      </c>
      <c r="AK8" s="25">
        <v>1.0</v>
      </c>
      <c r="AL8" s="26">
        <f t="shared" si="6"/>
        <v>5</v>
      </c>
      <c r="AM8" s="27">
        <f t="shared" si="7"/>
        <v>8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1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1.0</v>
      </c>
      <c r="P9" s="19">
        <v>1.0</v>
      </c>
      <c r="Q9" s="19">
        <v>0.0</v>
      </c>
      <c r="R9" s="19">
        <v>0.0</v>
      </c>
      <c r="S9" s="19">
        <v>0.0</v>
      </c>
      <c r="T9" s="20">
        <f t="shared" si="3"/>
        <v>2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2">
        <f t="shared" si="4"/>
        <v>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1.0</v>
      </c>
      <c r="AH9" s="25">
        <v>0.0</v>
      </c>
      <c r="AI9" s="25">
        <v>1.0</v>
      </c>
      <c r="AJ9" s="25">
        <v>1.0</v>
      </c>
      <c r="AK9" s="25">
        <v>1.0</v>
      </c>
      <c r="AL9" s="26">
        <f t="shared" si="6"/>
        <v>4</v>
      </c>
      <c r="AM9" s="27">
        <f t="shared" si="7"/>
        <v>7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1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1.0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1</v>
      </c>
      <c r="U10" s="21">
        <v>0.0</v>
      </c>
      <c r="V10" s="21">
        <v>0.0</v>
      </c>
      <c r="W10" s="21">
        <v>1.0</v>
      </c>
      <c r="X10" s="21">
        <v>0.0</v>
      </c>
      <c r="Y10" s="21">
        <v>0.0</v>
      </c>
      <c r="Z10" s="22">
        <f t="shared" si="4"/>
        <v>1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1.0</v>
      </c>
      <c r="AH10" s="25">
        <v>0.0</v>
      </c>
      <c r="AI10" s="25">
        <v>1.0</v>
      </c>
      <c r="AJ10" s="25">
        <v>1.0</v>
      </c>
      <c r="AK10" s="25">
        <v>1.0</v>
      </c>
      <c r="AL10" s="26">
        <f t="shared" si="6"/>
        <v>4</v>
      </c>
      <c r="AM10" s="27">
        <f t="shared" si="7"/>
        <v>6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5">
        <v>1.0</v>
      </c>
      <c r="F11" s="15">
        <v>0.0</v>
      </c>
      <c r="G11" s="15">
        <v>0.0</v>
      </c>
      <c r="H11" s="16">
        <f t="shared" si="1"/>
        <v>1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0</v>
      </c>
      <c r="U11" s="21">
        <v>0.0</v>
      </c>
      <c r="V11" s="21">
        <v>0.0</v>
      </c>
      <c r="W11" s="21">
        <v>0.0</v>
      </c>
      <c r="X11" s="21">
        <v>1.0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1.0</v>
      </c>
      <c r="AH11" s="25">
        <v>0.0</v>
      </c>
      <c r="AI11" s="25">
        <v>1.0</v>
      </c>
      <c r="AJ11" s="25">
        <v>1.0</v>
      </c>
      <c r="AK11" s="25">
        <v>1.0</v>
      </c>
      <c r="AL11" s="26">
        <f t="shared" si="6"/>
        <v>4</v>
      </c>
      <c r="AM11" s="27">
        <f t="shared" si="7"/>
        <v>6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1.0</v>
      </c>
      <c r="G12" s="15">
        <v>0.0</v>
      </c>
      <c r="H12" s="16">
        <f t="shared" si="1"/>
        <v>1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8">
        <f t="shared" si="2"/>
        <v>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20">
        <f t="shared" si="3"/>
        <v>0</v>
      </c>
      <c r="U12" s="21">
        <v>0.0</v>
      </c>
      <c r="V12" s="21">
        <v>0.0</v>
      </c>
      <c r="W12" s="21">
        <v>0.0</v>
      </c>
      <c r="X12" s="21">
        <v>0.0</v>
      </c>
      <c r="Y12" s="21">
        <v>0.0</v>
      </c>
      <c r="Z12" s="22">
        <f t="shared" si="4"/>
        <v>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1.0</v>
      </c>
      <c r="AH12" s="25">
        <v>0.0</v>
      </c>
      <c r="AI12" s="25">
        <v>1.0</v>
      </c>
      <c r="AJ12" s="25">
        <v>1.0</v>
      </c>
      <c r="AK12" s="25">
        <v>1.0</v>
      </c>
      <c r="AL12" s="26">
        <f t="shared" si="6"/>
        <v>4</v>
      </c>
      <c r="AM12" s="27">
        <f t="shared" si="7"/>
        <v>5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1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20">
        <f t="shared" si="3"/>
        <v>0</v>
      </c>
      <c r="U13" s="21">
        <v>0.0</v>
      </c>
      <c r="V13" s="21">
        <v>0.0</v>
      </c>
      <c r="W13" s="21">
        <v>0.0</v>
      </c>
      <c r="X13" s="21">
        <v>0.0</v>
      </c>
      <c r="Y13" s="21">
        <v>0.0</v>
      </c>
      <c r="Z13" s="22">
        <f t="shared" si="4"/>
        <v>0</v>
      </c>
      <c r="AA13" s="23">
        <v>1.0</v>
      </c>
      <c r="AB13" s="23">
        <v>0.0</v>
      </c>
      <c r="AC13" s="23">
        <v>0.0</v>
      </c>
      <c r="AD13" s="23">
        <v>0.0</v>
      </c>
      <c r="AE13" s="23">
        <v>0.0</v>
      </c>
      <c r="AF13" s="24">
        <f t="shared" si="5"/>
        <v>1</v>
      </c>
      <c r="AG13" s="25">
        <v>1.0</v>
      </c>
      <c r="AH13" s="25">
        <v>0.0</v>
      </c>
      <c r="AI13" s="25">
        <v>1.0</v>
      </c>
      <c r="AJ13" s="25">
        <v>1.0</v>
      </c>
      <c r="AK13" s="25">
        <v>1.0</v>
      </c>
      <c r="AL13" s="26">
        <f t="shared" si="6"/>
        <v>4</v>
      </c>
      <c r="AM13" s="27">
        <f t="shared" si="7"/>
        <v>5</v>
      </c>
      <c r="AN13" s="28" t="str">
        <f t="shared" si="8"/>
        <v>Atenção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1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0.0</v>
      </c>
      <c r="X14" s="21">
        <v>0.0</v>
      </c>
      <c r="Y14" s="21">
        <v>0.0</v>
      </c>
      <c r="Z14" s="22">
        <f t="shared" si="4"/>
        <v>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1.0</v>
      </c>
      <c r="AH14" s="25">
        <v>0.0</v>
      </c>
      <c r="AI14" s="25">
        <v>1.0</v>
      </c>
      <c r="AJ14" s="25">
        <v>1.0</v>
      </c>
      <c r="AK14" s="25">
        <v>1.0</v>
      </c>
      <c r="AL14" s="26">
        <f t="shared" si="6"/>
        <v>4</v>
      </c>
      <c r="AM14" s="27">
        <f t="shared" si="7"/>
        <v>4</v>
      </c>
      <c r="AN14" s="28" t="str">
        <f t="shared" si="8"/>
        <v>Atenção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1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22">
        <f t="shared" si="4"/>
        <v>0</v>
      </c>
      <c r="AA15" s="23">
        <v>1.0</v>
      </c>
      <c r="AB15" s="23">
        <v>1.0</v>
      </c>
      <c r="AC15" s="23">
        <v>0.0</v>
      </c>
      <c r="AD15" s="23">
        <v>0.0</v>
      </c>
      <c r="AE15" s="23">
        <v>0.0</v>
      </c>
      <c r="AF15" s="24">
        <f t="shared" si="5"/>
        <v>2</v>
      </c>
      <c r="AG15" s="25">
        <v>1.0</v>
      </c>
      <c r="AH15" s="25">
        <v>0.0</v>
      </c>
      <c r="AI15" s="25">
        <v>1.0</v>
      </c>
      <c r="AJ15" s="25">
        <v>1.0</v>
      </c>
      <c r="AK15" s="25">
        <v>1.0</v>
      </c>
      <c r="AL15" s="26">
        <f t="shared" si="6"/>
        <v>4</v>
      </c>
      <c r="AM15" s="27">
        <f t="shared" si="7"/>
        <v>6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1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2">
        <f t="shared" si="4"/>
        <v>0</v>
      </c>
      <c r="AA16" s="23">
        <v>1.0</v>
      </c>
      <c r="AB16" s="23">
        <v>1.0</v>
      </c>
      <c r="AC16" s="23">
        <v>0.0</v>
      </c>
      <c r="AD16" s="23">
        <v>1.0</v>
      </c>
      <c r="AE16" s="23">
        <v>0.0</v>
      </c>
      <c r="AF16" s="24">
        <f t="shared" si="5"/>
        <v>3</v>
      </c>
      <c r="AG16" s="25">
        <v>1.0</v>
      </c>
      <c r="AH16" s="25">
        <v>0.0</v>
      </c>
      <c r="AI16" s="25">
        <v>1.0</v>
      </c>
      <c r="AJ16" s="25">
        <v>1.0</v>
      </c>
      <c r="AK16" s="25">
        <v>1.0</v>
      </c>
      <c r="AL16" s="26">
        <f t="shared" si="6"/>
        <v>4</v>
      </c>
      <c r="AM16" s="27">
        <f t="shared" si="7"/>
        <v>7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1"/>
        <v>0</v>
      </c>
      <c r="I17" s="17">
        <v>0.0</v>
      </c>
      <c r="J17" s="17">
        <v>1.0</v>
      </c>
      <c r="K17" s="17">
        <v>0.0</v>
      </c>
      <c r="L17" s="17">
        <v>0.0</v>
      </c>
      <c r="M17" s="17">
        <v>0.0</v>
      </c>
      <c r="N17" s="18">
        <f t="shared" si="2"/>
        <v>1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22">
        <f t="shared" si="4"/>
        <v>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1.0</v>
      </c>
      <c r="AH17" s="25">
        <v>0.0</v>
      </c>
      <c r="AI17" s="25">
        <v>1.0</v>
      </c>
      <c r="AJ17" s="25">
        <v>1.0</v>
      </c>
      <c r="AK17" s="25">
        <v>1.0</v>
      </c>
      <c r="AL17" s="26">
        <f t="shared" si="6"/>
        <v>4</v>
      </c>
      <c r="AM17" s="27">
        <f t="shared" si="7"/>
        <v>5</v>
      </c>
      <c r="AN17" s="28" t="str">
        <f t="shared" si="8"/>
        <v>Atenção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1"/>
        <v>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8">
        <f t="shared" si="2"/>
        <v>0</v>
      </c>
      <c r="O18" s="19">
        <v>0.0</v>
      </c>
      <c r="P18" s="19">
        <v>0.0</v>
      </c>
      <c r="Q18" s="19">
        <v>0.0</v>
      </c>
      <c r="R18" s="19">
        <v>0.0</v>
      </c>
      <c r="S18" s="19">
        <v>0.0</v>
      </c>
      <c r="T18" s="20">
        <f t="shared" si="3"/>
        <v>0</v>
      </c>
      <c r="U18" s="21">
        <v>0.0</v>
      </c>
      <c r="V18" s="21">
        <v>1.0</v>
      </c>
      <c r="W18" s="21">
        <v>0.0</v>
      </c>
      <c r="X18" s="21">
        <v>0.0</v>
      </c>
      <c r="Y18" s="21">
        <v>0.0</v>
      </c>
      <c r="Z18" s="22">
        <f t="shared" si="4"/>
        <v>1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1.0</v>
      </c>
      <c r="AH18" s="25">
        <v>0.0</v>
      </c>
      <c r="AI18" s="25">
        <v>1.0</v>
      </c>
      <c r="AJ18" s="25">
        <v>1.0</v>
      </c>
      <c r="AK18" s="25">
        <v>1.0</v>
      </c>
      <c r="AL18" s="26">
        <f t="shared" si="6"/>
        <v>4</v>
      </c>
      <c r="AM18" s="27">
        <f t="shared" si="7"/>
        <v>5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1"/>
        <v>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8">
        <f t="shared" si="2"/>
        <v>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0.0</v>
      </c>
      <c r="V19" s="21">
        <v>0.0</v>
      </c>
      <c r="W19" s="21">
        <v>0.0</v>
      </c>
      <c r="X19" s="21">
        <v>0.0</v>
      </c>
      <c r="Y19" s="21">
        <v>0.0</v>
      </c>
      <c r="Z19" s="22">
        <f t="shared" si="4"/>
        <v>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4">
        <f t="shared" si="5"/>
        <v>0</v>
      </c>
      <c r="AG19" s="25">
        <v>1.0</v>
      </c>
      <c r="AH19" s="25">
        <v>0.0</v>
      </c>
      <c r="AI19" s="25">
        <v>1.0</v>
      </c>
      <c r="AJ19" s="25">
        <v>1.0</v>
      </c>
      <c r="AK19" s="25">
        <v>1.0</v>
      </c>
      <c r="AL19" s="26">
        <f t="shared" si="6"/>
        <v>4</v>
      </c>
      <c r="AM19" s="27">
        <f t="shared" si="7"/>
        <v>4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5">
        <v>1.0</v>
      </c>
      <c r="E20" s="15">
        <v>0.0</v>
      </c>
      <c r="F20" s="15">
        <v>0.0</v>
      </c>
      <c r="G20" s="15">
        <v>0.0</v>
      </c>
      <c r="H20" s="16">
        <f t="shared" si="1"/>
        <v>1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f t="shared" si="3"/>
        <v>0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1.0</v>
      </c>
      <c r="AH20" s="25">
        <v>0.0</v>
      </c>
      <c r="AI20" s="25">
        <v>1.0</v>
      </c>
      <c r="AJ20" s="25">
        <v>1.0</v>
      </c>
      <c r="AK20" s="25">
        <v>1.0</v>
      </c>
      <c r="AL20" s="26">
        <f t="shared" si="6"/>
        <v>4</v>
      </c>
      <c r="AM20" s="27">
        <f t="shared" si="7"/>
        <v>5</v>
      </c>
      <c r="AN20" s="28" t="str">
        <f t="shared" si="8"/>
        <v>Atenção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1"/>
        <v>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8">
        <f t="shared" si="2"/>
        <v>0</v>
      </c>
      <c r="O21" s="19">
        <v>0.0</v>
      </c>
      <c r="P21" s="19">
        <v>0.0</v>
      </c>
      <c r="Q21" s="19">
        <v>1.0</v>
      </c>
      <c r="R21" s="19">
        <v>0.0</v>
      </c>
      <c r="S21" s="19">
        <v>0.0</v>
      </c>
      <c r="T21" s="20">
        <f t="shared" si="3"/>
        <v>1</v>
      </c>
      <c r="U21" s="21">
        <v>1.0</v>
      </c>
      <c r="V21" s="21">
        <v>1.0</v>
      </c>
      <c r="W21" s="21">
        <v>0.0</v>
      </c>
      <c r="X21" s="21">
        <v>0.0</v>
      </c>
      <c r="Y21" s="21">
        <v>0.0</v>
      </c>
      <c r="Z21" s="22">
        <f t="shared" si="4"/>
        <v>2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0</v>
      </c>
      <c r="AG21" s="25">
        <v>1.0</v>
      </c>
      <c r="AH21" s="25">
        <v>0.0</v>
      </c>
      <c r="AI21" s="25">
        <v>1.0</v>
      </c>
      <c r="AJ21" s="25">
        <v>1.0</v>
      </c>
      <c r="AK21" s="25">
        <v>1.0</v>
      </c>
      <c r="AL21" s="26">
        <f t="shared" si="6"/>
        <v>4</v>
      </c>
      <c r="AM21" s="27">
        <f t="shared" si="7"/>
        <v>7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1"/>
        <v>0</v>
      </c>
      <c r="I22" s="17">
        <v>1.0</v>
      </c>
      <c r="J22" s="17">
        <v>0.0</v>
      </c>
      <c r="K22" s="17">
        <v>0.0</v>
      </c>
      <c r="L22" s="17">
        <v>0.0</v>
      </c>
      <c r="M22" s="17">
        <v>0.0</v>
      </c>
      <c r="N22" s="18">
        <f t="shared" si="2"/>
        <v>1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20">
        <f t="shared" si="3"/>
        <v>1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1.0</v>
      </c>
      <c r="AH22" s="25">
        <v>0.0</v>
      </c>
      <c r="AI22" s="25">
        <v>1.0</v>
      </c>
      <c r="AJ22" s="25">
        <v>1.0</v>
      </c>
      <c r="AK22" s="25">
        <v>1.0</v>
      </c>
      <c r="AL22" s="26">
        <f t="shared" si="6"/>
        <v>4</v>
      </c>
      <c r="AM22" s="27">
        <f t="shared" si="7"/>
        <v>6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1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1.0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1</v>
      </c>
      <c r="AG23" s="25">
        <v>1.0</v>
      </c>
      <c r="AH23" s="25">
        <v>0.0</v>
      </c>
      <c r="AI23" s="25">
        <v>1.0</v>
      </c>
      <c r="AJ23" s="25">
        <v>1.0</v>
      </c>
      <c r="AK23" s="25">
        <v>1.0</v>
      </c>
      <c r="AL23" s="26">
        <f t="shared" si="6"/>
        <v>4</v>
      </c>
      <c r="AM23" s="27">
        <f t="shared" si="7"/>
        <v>5</v>
      </c>
      <c r="AN23" s="28" t="str">
        <f t="shared" si="8"/>
        <v>Atenção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1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1.0</v>
      </c>
      <c r="AH24" s="25">
        <v>0.0</v>
      </c>
      <c r="AI24" s="25">
        <v>1.0</v>
      </c>
      <c r="AJ24" s="25">
        <v>1.0</v>
      </c>
      <c r="AK24" s="25">
        <v>1.0</v>
      </c>
      <c r="AL24" s="26">
        <f t="shared" si="6"/>
        <v>4</v>
      </c>
      <c r="AM24" s="27">
        <f t="shared" si="7"/>
        <v>4</v>
      </c>
      <c r="AN24" s="28" t="str">
        <f t="shared" si="8"/>
        <v>Atenção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1"/>
        <v>0</v>
      </c>
      <c r="I25" s="17">
        <v>0.0</v>
      </c>
      <c r="J25" s="17">
        <v>1.0</v>
      </c>
      <c r="K25" s="17">
        <v>0.0</v>
      </c>
      <c r="L25" s="17">
        <v>0.0</v>
      </c>
      <c r="M25" s="17">
        <v>0.0</v>
      </c>
      <c r="N25" s="18">
        <f t="shared" si="2"/>
        <v>1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1.0</v>
      </c>
      <c r="AH25" s="25">
        <v>0.0</v>
      </c>
      <c r="AI25" s="25">
        <v>1.0</v>
      </c>
      <c r="AJ25" s="25">
        <v>1.0</v>
      </c>
      <c r="AK25" s="25">
        <v>1.0</v>
      </c>
      <c r="AL25" s="26">
        <f t="shared" si="6"/>
        <v>4</v>
      </c>
      <c r="AM25" s="27">
        <f t="shared" si="7"/>
        <v>5</v>
      </c>
      <c r="AN25" s="28" t="str">
        <f t="shared" si="8"/>
        <v>Atenção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1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1.0</v>
      </c>
      <c r="AH26" s="25">
        <v>0.0</v>
      </c>
      <c r="AI26" s="25">
        <v>1.0</v>
      </c>
      <c r="AJ26" s="25">
        <v>1.0</v>
      </c>
      <c r="AK26" s="25">
        <v>1.0</v>
      </c>
      <c r="AL26" s="26">
        <f t="shared" si="6"/>
        <v>4</v>
      </c>
      <c r="AM26" s="27">
        <f t="shared" si="7"/>
        <v>4</v>
      </c>
      <c r="AN26" s="28" t="str">
        <f t="shared" si="8"/>
        <v>Atenção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1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8">
        <f t="shared" si="2"/>
        <v>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1.0</v>
      </c>
      <c r="AH27" s="25">
        <v>0.0</v>
      </c>
      <c r="AI27" s="25">
        <v>1.0</v>
      </c>
      <c r="AJ27" s="25">
        <v>1.0</v>
      </c>
      <c r="AK27" s="25">
        <v>1.0</v>
      </c>
      <c r="AL27" s="26">
        <f t="shared" si="6"/>
        <v>4</v>
      </c>
      <c r="AM27" s="27">
        <f t="shared" si="7"/>
        <v>4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1"/>
        <v>0</v>
      </c>
      <c r="I28" s="17">
        <v>0.0</v>
      </c>
      <c r="J28" s="17">
        <v>1.0</v>
      </c>
      <c r="K28" s="17">
        <v>0.0</v>
      </c>
      <c r="L28" s="17">
        <v>0.0</v>
      </c>
      <c r="M28" s="17">
        <v>0.0</v>
      </c>
      <c r="N28" s="18">
        <f t="shared" si="2"/>
        <v>1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f t="shared" si="3"/>
        <v>0</v>
      </c>
      <c r="U28" s="21">
        <v>0.0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1.0</v>
      </c>
      <c r="AH28" s="25">
        <v>0.0</v>
      </c>
      <c r="AI28" s="25">
        <v>1.0</v>
      </c>
      <c r="AJ28" s="25">
        <v>1.0</v>
      </c>
      <c r="AK28" s="25">
        <v>1.0</v>
      </c>
      <c r="AL28" s="26">
        <f t="shared" si="6"/>
        <v>4</v>
      </c>
      <c r="AM28" s="27">
        <f t="shared" si="7"/>
        <v>5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6">
        <f t="shared" si="1"/>
        <v>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8">
        <f t="shared" si="2"/>
        <v>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22">
        <f t="shared" si="4"/>
        <v>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1.0</v>
      </c>
      <c r="AH29" s="25">
        <v>0.0</v>
      </c>
      <c r="AI29" s="25">
        <v>1.0</v>
      </c>
      <c r="AJ29" s="25">
        <v>1.0</v>
      </c>
      <c r="AK29" s="25">
        <v>1.0</v>
      </c>
      <c r="AL29" s="26">
        <f t="shared" si="6"/>
        <v>4</v>
      </c>
      <c r="AM29" s="27">
        <f t="shared" si="7"/>
        <v>4</v>
      </c>
      <c r="AN29" s="28" t="str">
        <f t="shared" si="8"/>
        <v>Atenção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1"/>
        <v>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8">
        <f t="shared" si="2"/>
        <v>0</v>
      </c>
      <c r="O30" s="19">
        <v>0.0</v>
      </c>
      <c r="P30" s="19">
        <v>0.0</v>
      </c>
      <c r="Q30" s="19">
        <v>1.0</v>
      </c>
      <c r="R30" s="19">
        <v>0.0</v>
      </c>
      <c r="S30" s="19">
        <v>0.0</v>
      </c>
      <c r="T30" s="20">
        <f t="shared" si="3"/>
        <v>1</v>
      </c>
      <c r="U30" s="21">
        <v>0.0</v>
      </c>
      <c r="V30" s="21">
        <v>0.0</v>
      </c>
      <c r="W30" s="21">
        <v>0.0</v>
      </c>
      <c r="X30" s="21">
        <v>0.0</v>
      </c>
      <c r="Y30" s="21">
        <v>0.0</v>
      </c>
      <c r="Z30" s="22">
        <f t="shared" si="4"/>
        <v>0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1.0</v>
      </c>
      <c r="AH30" s="25">
        <v>1.0</v>
      </c>
      <c r="AI30" s="25">
        <v>1.0</v>
      </c>
      <c r="AJ30" s="25">
        <v>1.0</v>
      </c>
      <c r="AK30" s="25">
        <v>1.0</v>
      </c>
      <c r="AL30" s="26">
        <f t="shared" si="6"/>
        <v>5</v>
      </c>
      <c r="AM30" s="27">
        <f t="shared" si="7"/>
        <v>6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1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19">
        <v>0.0</v>
      </c>
      <c r="P31" s="19">
        <v>1.0</v>
      </c>
      <c r="Q31" s="19">
        <v>0.0</v>
      </c>
      <c r="R31" s="19">
        <v>0.0</v>
      </c>
      <c r="S31" s="19">
        <v>0.0</v>
      </c>
      <c r="T31" s="20">
        <f t="shared" si="3"/>
        <v>1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22">
        <f t="shared" si="4"/>
        <v>0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1.0</v>
      </c>
      <c r="AH31" s="25">
        <v>0.0</v>
      </c>
      <c r="AI31" s="25">
        <v>1.0</v>
      </c>
      <c r="AJ31" s="25">
        <v>1.0</v>
      </c>
      <c r="AK31" s="25">
        <v>1.0</v>
      </c>
      <c r="AL31" s="26">
        <f t="shared" si="6"/>
        <v>4</v>
      </c>
      <c r="AM31" s="27">
        <f t="shared" si="7"/>
        <v>6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1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20">
        <f t="shared" si="3"/>
        <v>1</v>
      </c>
      <c r="U32" s="21">
        <v>0.0</v>
      </c>
      <c r="V32" s="21">
        <v>0.0</v>
      </c>
      <c r="W32" s="21">
        <v>0.0</v>
      </c>
      <c r="X32" s="21">
        <v>0.0</v>
      </c>
      <c r="Y32" s="21">
        <v>0.0</v>
      </c>
      <c r="Z32" s="22">
        <f t="shared" si="4"/>
        <v>0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1.0</v>
      </c>
      <c r="AH32" s="25">
        <v>0.0</v>
      </c>
      <c r="AI32" s="25">
        <v>1.0</v>
      </c>
      <c r="AJ32" s="25">
        <v>1.0</v>
      </c>
      <c r="AK32" s="25">
        <v>1.0</v>
      </c>
      <c r="AL32" s="26">
        <f t="shared" si="6"/>
        <v>4</v>
      </c>
      <c r="AM32" s="27">
        <f t="shared" si="7"/>
        <v>5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6">
        <f t="shared" ref="H3:H32" si="1">SUM(C3:G3)</f>
        <v>0</v>
      </c>
      <c r="I3" s="17">
        <v>0.0</v>
      </c>
      <c r="J3" s="17">
        <v>0.0</v>
      </c>
      <c r="K3" s="17">
        <v>0.0</v>
      </c>
      <c r="L3" s="17">
        <v>0.0</v>
      </c>
      <c r="M3" s="17">
        <v>0.0</v>
      </c>
      <c r="N3" s="18">
        <f t="shared" ref="N3:N32" si="2">SUM(I3:M3)</f>
        <v>0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2">
        <f t="shared" ref="Z3:Z32" si="4">SUM(U3:Y3)</f>
        <v>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0.0</v>
      </c>
      <c r="AH3" s="25">
        <v>0.0</v>
      </c>
      <c r="AI3" s="25">
        <v>0.0</v>
      </c>
      <c r="AJ3" s="25">
        <v>0.0</v>
      </c>
      <c r="AK3" s="25">
        <v>0.0</v>
      </c>
      <c r="AL3" s="26">
        <f t="shared" ref="AL3:AL32" si="6">SUM(AG3:AK3)</f>
        <v>0</v>
      </c>
      <c r="AM3" s="27">
        <f t="shared" ref="AM3:AM32" si="7">H3+N3+T3+Z3+AF3+AL3</f>
        <v>0</v>
      </c>
      <c r="AN3" s="28" t="str">
        <f t="shared" ref="AN3:AN32" si="8">IF(AM3=0,"Conforme",IF(AM3&lt;=12,"Atenção","Crítico"))</f>
        <v>Conforme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0.0</v>
      </c>
      <c r="AH4" s="25">
        <v>0.0</v>
      </c>
      <c r="AI4" s="25">
        <v>0.0</v>
      </c>
      <c r="AJ4" s="25">
        <v>0.0</v>
      </c>
      <c r="AK4" s="25">
        <v>0.0</v>
      </c>
      <c r="AL4" s="26">
        <f t="shared" si="6"/>
        <v>0</v>
      </c>
      <c r="AM4" s="27">
        <f t="shared" si="7"/>
        <v>1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5">
        <v>0.0</v>
      </c>
      <c r="F5" s="15">
        <v>0.0</v>
      </c>
      <c r="G5" s="15">
        <v>0.0</v>
      </c>
      <c r="H5" s="16">
        <f t="shared" si="1"/>
        <v>0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20">
        <f t="shared" si="3"/>
        <v>0</v>
      </c>
      <c r="U5" s="21">
        <v>0.0</v>
      </c>
      <c r="V5" s="21">
        <v>0.0</v>
      </c>
      <c r="W5" s="21">
        <v>0.0</v>
      </c>
      <c r="X5" s="21">
        <v>0.0</v>
      </c>
      <c r="Y5" s="21">
        <v>0.0</v>
      </c>
      <c r="Z5" s="22">
        <f t="shared" si="4"/>
        <v>0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6">
        <f t="shared" si="6"/>
        <v>0</v>
      </c>
      <c r="AM5" s="27">
        <f t="shared" si="7"/>
        <v>0</v>
      </c>
      <c r="AN5" s="28" t="str">
        <f t="shared" si="8"/>
        <v>Conforme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20">
        <f t="shared" si="3"/>
        <v>1</v>
      </c>
      <c r="U6" s="21">
        <v>0.0</v>
      </c>
      <c r="V6" s="21">
        <v>0.0</v>
      </c>
      <c r="W6" s="21">
        <v>0.0</v>
      </c>
      <c r="X6" s="21">
        <v>0.0</v>
      </c>
      <c r="Y6" s="21">
        <v>0.0</v>
      </c>
      <c r="Z6" s="22">
        <f t="shared" si="4"/>
        <v>0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0.0</v>
      </c>
      <c r="AH6" s="25">
        <v>0.0</v>
      </c>
      <c r="AI6" s="25">
        <v>0.0</v>
      </c>
      <c r="AJ6" s="25">
        <v>0.0</v>
      </c>
      <c r="AK6" s="25">
        <v>0.0</v>
      </c>
      <c r="AL6" s="26">
        <f t="shared" si="6"/>
        <v>0</v>
      </c>
      <c r="AM6" s="27">
        <f t="shared" si="7"/>
        <v>1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1.0</v>
      </c>
      <c r="H7" s="16">
        <f t="shared" si="1"/>
        <v>1</v>
      </c>
      <c r="I7" s="17">
        <v>0.0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1</v>
      </c>
      <c r="O7" s="19">
        <v>0.0</v>
      </c>
      <c r="P7" s="19">
        <v>0.0</v>
      </c>
      <c r="Q7" s="19">
        <v>0.0</v>
      </c>
      <c r="R7" s="19">
        <v>0.0</v>
      </c>
      <c r="S7" s="19">
        <v>0.0</v>
      </c>
      <c r="T7" s="20">
        <f t="shared" si="3"/>
        <v>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2">
        <f t="shared" si="4"/>
        <v>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0</v>
      </c>
      <c r="AG7" s="25">
        <v>0.0</v>
      </c>
      <c r="AH7" s="25">
        <v>0.0</v>
      </c>
      <c r="AI7" s="25">
        <v>0.0</v>
      </c>
      <c r="AJ7" s="25">
        <v>0.0</v>
      </c>
      <c r="AK7" s="25">
        <v>0.0</v>
      </c>
      <c r="AL7" s="26">
        <f t="shared" si="6"/>
        <v>0</v>
      </c>
      <c r="AM7" s="27">
        <f t="shared" si="7"/>
        <v>2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si="1"/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0</v>
      </c>
      <c r="U8" s="21">
        <v>1.0</v>
      </c>
      <c r="V8" s="21">
        <v>0.0</v>
      </c>
      <c r="W8" s="21">
        <v>0.0</v>
      </c>
      <c r="X8" s="21">
        <v>0.0</v>
      </c>
      <c r="Y8" s="21">
        <v>1.0</v>
      </c>
      <c r="Z8" s="22">
        <f t="shared" si="4"/>
        <v>2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0.0</v>
      </c>
      <c r="AH8" s="25">
        <v>1.0</v>
      </c>
      <c r="AI8" s="25">
        <v>0.0</v>
      </c>
      <c r="AJ8" s="25">
        <v>0.0</v>
      </c>
      <c r="AK8" s="25">
        <v>0.0</v>
      </c>
      <c r="AL8" s="26">
        <f t="shared" si="6"/>
        <v>1</v>
      </c>
      <c r="AM8" s="27">
        <f t="shared" si="7"/>
        <v>3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1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20">
        <f t="shared" si="3"/>
        <v>0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2">
        <f t="shared" si="4"/>
        <v>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0.0</v>
      </c>
      <c r="AH9" s="25">
        <v>0.0</v>
      </c>
      <c r="AI9" s="25">
        <v>0.0</v>
      </c>
      <c r="AJ9" s="25">
        <v>0.0</v>
      </c>
      <c r="AK9" s="25">
        <v>0.0</v>
      </c>
      <c r="AL9" s="26">
        <f t="shared" si="6"/>
        <v>0</v>
      </c>
      <c r="AM9" s="27">
        <f t="shared" si="7"/>
        <v>1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1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0</v>
      </c>
      <c r="U10" s="21">
        <v>0.0</v>
      </c>
      <c r="V10" s="21">
        <v>0.0</v>
      </c>
      <c r="W10" s="21">
        <v>1.0</v>
      </c>
      <c r="X10" s="21">
        <v>0.0</v>
      </c>
      <c r="Y10" s="21">
        <v>0.0</v>
      </c>
      <c r="Z10" s="22">
        <f t="shared" si="4"/>
        <v>1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0.0</v>
      </c>
      <c r="AH10" s="25">
        <v>0.0</v>
      </c>
      <c r="AI10" s="25">
        <v>0.0</v>
      </c>
      <c r="AJ10" s="25">
        <v>0.0</v>
      </c>
      <c r="AK10" s="25">
        <v>0.0</v>
      </c>
      <c r="AL10" s="26">
        <f t="shared" si="6"/>
        <v>0</v>
      </c>
      <c r="AM10" s="27">
        <f t="shared" si="7"/>
        <v>1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5">
        <v>1.0</v>
      </c>
      <c r="F11" s="15">
        <v>0.0</v>
      </c>
      <c r="G11" s="15">
        <v>0.0</v>
      </c>
      <c r="H11" s="16">
        <f t="shared" si="1"/>
        <v>1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0</v>
      </c>
      <c r="U11" s="21">
        <v>0.0</v>
      </c>
      <c r="V11" s="21">
        <v>0.0</v>
      </c>
      <c r="W11" s="21">
        <v>0.0</v>
      </c>
      <c r="X11" s="21">
        <v>1.0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  <c r="AL11" s="26">
        <f t="shared" si="6"/>
        <v>0</v>
      </c>
      <c r="AM11" s="27">
        <f t="shared" si="7"/>
        <v>2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1.0</v>
      </c>
      <c r="G12" s="15">
        <v>0.0</v>
      </c>
      <c r="H12" s="16">
        <f t="shared" si="1"/>
        <v>1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8">
        <f t="shared" si="2"/>
        <v>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20">
        <f t="shared" si="3"/>
        <v>0</v>
      </c>
      <c r="U12" s="21">
        <v>0.0</v>
      </c>
      <c r="V12" s="21">
        <v>0.0</v>
      </c>
      <c r="W12" s="21">
        <v>0.0</v>
      </c>
      <c r="X12" s="21">
        <v>0.0</v>
      </c>
      <c r="Y12" s="21">
        <v>0.0</v>
      </c>
      <c r="Z12" s="22">
        <f t="shared" si="4"/>
        <v>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0.0</v>
      </c>
      <c r="AH12" s="25">
        <v>0.0</v>
      </c>
      <c r="AI12" s="25">
        <v>0.0</v>
      </c>
      <c r="AJ12" s="25">
        <v>0.0</v>
      </c>
      <c r="AK12" s="25">
        <v>0.0</v>
      </c>
      <c r="AL12" s="26">
        <f t="shared" si="6"/>
        <v>0</v>
      </c>
      <c r="AM12" s="27">
        <f t="shared" si="7"/>
        <v>1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1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20">
        <f t="shared" si="3"/>
        <v>0</v>
      </c>
      <c r="U13" s="21">
        <v>0.0</v>
      </c>
      <c r="V13" s="21">
        <v>0.0</v>
      </c>
      <c r="W13" s="21">
        <v>0.0</v>
      </c>
      <c r="X13" s="21">
        <v>0.0</v>
      </c>
      <c r="Y13" s="21">
        <v>0.0</v>
      </c>
      <c r="Z13" s="22">
        <f t="shared" si="4"/>
        <v>0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4">
        <f t="shared" si="5"/>
        <v>0</v>
      </c>
      <c r="AG13" s="25">
        <v>0.0</v>
      </c>
      <c r="AH13" s="25">
        <v>0.0</v>
      </c>
      <c r="AI13" s="25">
        <v>0.0</v>
      </c>
      <c r="AJ13" s="25">
        <v>0.0</v>
      </c>
      <c r="AK13" s="25">
        <v>0.0</v>
      </c>
      <c r="AL13" s="26">
        <f t="shared" si="6"/>
        <v>0</v>
      </c>
      <c r="AM13" s="27">
        <f t="shared" si="7"/>
        <v>0</v>
      </c>
      <c r="AN13" s="28" t="str">
        <f t="shared" si="8"/>
        <v>Conforme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1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0.0</v>
      </c>
      <c r="X14" s="21">
        <v>0.0</v>
      </c>
      <c r="Y14" s="21">
        <v>0.0</v>
      </c>
      <c r="Z14" s="22">
        <f t="shared" si="4"/>
        <v>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0.0</v>
      </c>
      <c r="AH14" s="25">
        <v>0.0</v>
      </c>
      <c r="AI14" s="25">
        <v>0.0</v>
      </c>
      <c r="AJ14" s="25">
        <v>0.0</v>
      </c>
      <c r="AK14" s="25">
        <v>0.0</v>
      </c>
      <c r="AL14" s="26">
        <f t="shared" si="6"/>
        <v>0</v>
      </c>
      <c r="AM14" s="27">
        <f t="shared" si="7"/>
        <v>0</v>
      </c>
      <c r="AN14" s="28" t="str">
        <f t="shared" si="8"/>
        <v>Conforme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1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22">
        <f t="shared" si="4"/>
        <v>0</v>
      </c>
      <c r="AA15" s="23">
        <v>1.0</v>
      </c>
      <c r="AB15" s="23">
        <v>0.0</v>
      </c>
      <c r="AC15" s="23">
        <v>0.0</v>
      </c>
      <c r="AD15" s="23">
        <v>0.0</v>
      </c>
      <c r="AE15" s="23">
        <v>0.0</v>
      </c>
      <c r="AF15" s="24">
        <f t="shared" si="5"/>
        <v>1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  <c r="AL15" s="26">
        <f t="shared" si="6"/>
        <v>0</v>
      </c>
      <c r="AM15" s="27">
        <f t="shared" si="7"/>
        <v>1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1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2">
        <f t="shared" si="4"/>
        <v>0</v>
      </c>
      <c r="AA16" s="23">
        <v>0.0</v>
      </c>
      <c r="AB16" s="23">
        <v>1.0</v>
      </c>
      <c r="AC16" s="23">
        <v>0.0</v>
      </c>
      <c r="AD16" s="23">
        <v>0.0</v>
      </c>
      <c r="AE16" s="23">
        <v>0.0</v>
      </c>
      <c r="AF16" s="24">
        <f t="shared" si="5"/>
        <v>1</v>
      </c>
      <c r="AG16" s="25">
        <v>0.0</v>
      </c>
      <c r="AH16" s="25">
        <v>0.0</v>
      </c>
      <c r="AI16" s="25">
        <v>0.0</v>
      </c>
      <c r="AJ16" s="25">
        <v>0.0</v>
      </c>
      <c r="AK16" s="25">
        <v>0.0</v>
      </c>
      <c r="AL16" s="26">
        <f t="shared" si="6"/>
        <v>0</v>
      </c>
      <c r="AM16" s="27">
        <f t="shared" si="7"/>
        <v>1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1"/>
        <v>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8">
        <f t="shared" si="2"/>
        <v>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22">
        <f t="shared" si="4"/>
        <v>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0.0</v>
      </c>
      <c r="AH17" s="25">
        <v>0.0</v>
      </c>
      <c r="AI17" s="25">
        <v>0.0</v>
      </c>
      <c r="AJ17" s="25">
        <v>0.0</v>
      </c>
      <c r="AK17" s="25">
        <v>0.0</v>
      </c>
      <c r="AL17" s="26">
        <f t="shared" si="6"/>
        <v>0</v>
      </c>
      <c r="AM17" s="27">
        <f t="shared" si="7"/>
        <v>0</v>
      </c>
      <c r="AN17" s="28" t="str">
        <f t="shared" si="8"/>
        <v>Conforme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1"/>
        <v>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8">
        <f t="shared" si="2"/>
        <v>0</v>
      </c>
      <c r="O18" s="19">
        <v>0.0</v>
      </c>
      <c r="P18" s="19">
        <v>1.0</v>
      </c>
      <c r="Q18" s="19">
        <v>0.0</v>
      </c>
      <c r="R18" s="19">
        <v>0.0</v>
      </c>
      <c r="S18" s="19">
        <v>0.0</v>
      </c>
      <c r="T18" s="20">
        <f t="shared" si="3"/>
        <v>1</v>
      </c>
      <c r="U18" s="21">
        <v>0.0</v>
      </c>
      <c r="V18" s="21">
        <v>0.0</v>
      </c>
      <c r="W18" s="21">
        <v>0.0</v>
      </c>
      <c r="X18" s="21">
        <v>0.0</v>
      </c>
      <c r="Y18" s="21">
        <v>0.0</v>
      </c>
      <c r="Z18" s="22">
        <f t="shared" si="4"/>
        <v>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0.0</v>
      </c>
      <c r="AH18" s="25">
        <v>0.0</v>
      </c>
      <c r="AI18" s="25">
        <v>0.0</v>
      </c>
      <c r="AJ18" s="25">
        <v>0.0</v>
      </c>
      <c r="AK18" s="25">
        <v>0.0</v>
      </c>
      <c r="AL18" s="26">
        <f t="shared" si="6"/>
        <v>0</v>
      </c>
      <c r="AM18" s="27">
        <f t="shared" si="7"/>
        <v>1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1"/>
        <v>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8">
        <f t="shared" si="2"/>
        <v>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0.0</v>
      </c>
      <c r="V19" s="21">
        <v>0.0</v>
      </c>
      <c r="W19" s="21">
        <v>0.0</v>
      </c>
      <c r="X19" s="21">
        <v>0.0</v>
      </c>
      <c r="Y19" s="21">
        <v>0.0</v>
      </c>
      <c r="Z19" s="22">
        <f t="shared" si="4"/>
        <v>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4">
        <f t="shared" si="5"/>
        <v>0</v>
      </c>
      <c r="AG19" s="25">
        <v>1.0</v>
      </c>
      <c r="AH19" s="25">
        <v>0.0</v>
      </c>
      <c r="AI19" s="25">
        <v>0.0</v>
      </c>
      <c r="AJ19" s="25">
        <v>0.0</v>
      </c>
      <c r="AK19" s="25">
        <v>0.0</v>
      </c>
      <c r="AL19" s="26">
        <f t="shared" si="6"/>
        <v>1</v>
      </c>
      <c r="AM19" s="27">
        <f t="shared" si="7"/>
        <v>1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5">
        <v>0.0</v>
      </c>
      <c r="E20" s="15">
        <v>0.0</v>
      </c>
      <c r="F20" s="15">
        <v>0.0</v>
      </c>
      <c r="G20" s="15">
        <v>0.0</v>
      </c>
      <c r="H20" s="16">
        <f t="shared" si="1"/>
        <v>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f t="shared" si="3"/>
        <v>0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0.0</v>
      </c>
      <c r="AH20" s="25">
        <v>0.0</v>
      </c>
      <c r="AI20" s="25">
        <v>0.0</v>
      </c>
      <c r="AJ20" s="25">
        <v>0.0</v>
      </c>
      <c r="AK20" s="25">
        <v>0.0</v>
      </c>
      <c r="AL20" s="26">
        <f t="shared" si="6"/>
        <v>0</v>
      </c>
      <c r="AM20" s="27">
        <f t="shared" si="7"/>
        <v>0</v>
      </c>
      <c r="AN20" s="28" t="str">
        <f t="shared" si="8"/>
        <v>Conforme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1"/>
        <v>0</v>
      </c>
      <c r="I21" s="17">
        <v>0.0</v>
      </c>
      <c r="J21" s="17">
        <v>0.0</v>
      </c>
      <c r="K21" s="17">
        <v>1.0</v>
      </c>
      <c r="L21" s="17">
        <v>0.0</v>
      </c>
      <c r="M21" s="17">
        <v>0.0</v>
      </c>
      <c r="N21" s="18">
        <f t="shared" si="2"/>
        <v>1</v>
      </c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20">
        <f t="shared" si="3"/>
        <v>0</v>
      </c>
      <c r="U21" s="21">
        <v>0.0</v>
      </c>
      <c r="V21" s="21">
        <v>0.0</v>
      </c>
      <c r="W21" s="21">
        <v>0.0</v>
      </c>
      <c r="X21" s="21">
        <v>0.0</v>
      </c>
      <c r="Y21" s="21">
        <v>0.0</v>
      </c>
      <c r="Z21" s="22">
        <f t="shared" si="4"/>
        <v>0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0</v>
      </c>
      <c r="AG21" s="25">
        <v>0.0</v>
      </c>
      <c r="AH21" s="25">
        <v>0.0</v>
      </c>
      <c r="AI21" s="25">
        <v>0.0</v>
      </c>
      <c r="AJ21" s="25">
        <v>0.0</v>
      </c>
      <c r="AK21" s="25">
        <v>0.0</v>
      </c>
      <c r="AL21" s="26">
        <f t="shared" si="6"/>
        <v>0</v>
      </c>
      <c r="AM21" s="27">
        <f t="shared" si="7"/>
        <v>1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1"/>
        <v>0</v>
      </c>
      <c r="I22" s="17">
        <v>0.0</v>
      </c>
      <c r="J22" s="17">
        <v>0.0</v>
      </c>
      <c r="K22" s="17">
        <v>0.0</v>
      </c>
      <c r="L22" s="17">
        <v>1.0</v>
      </c>
      <c r="M22" s="17">
        <v>0.0</v>
      </c>
      <c r="N22" s="18">
        <f t="shared" si="2"/>
        <v>1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20">
        <f t="shared" si="3"/>
        <v>0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0.0</v>
      </c>
      <c r="AH22" s="25">
        <v>0.0</v>
      </c>
      <c r="AI22" s="25">
        <v>0.0</v>
      </c>
      <c r="AJ22" s="25">
        <v>0.0</v>
      </c>
      <c r="AK22" s="25">
        <v>0.0</v>
      </c>
      <c r="AL22" s="26">
        <f t="shared" si="6"/>
        <v>0</v>
      </c>
      <c r="AM22" s="27">
        <f t="shared" si="7"/>
        <v>1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1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0</v>
      </c>
      <c r="AG23" s="25">
        <v>0.0</v>
      </c>
      <c r="AH23" s="25">
        <v>0.0</v>
      </c>
      <c r="AI23" s="25">
        <v>0.0</v>
      </c>
      <c r="AJ23" s="25">
        <v>0.0</v>
      </c>
      <c r="AK23" s="25">
        <v>0.0</v>
      </c>
      <c r="AL23" s="26">
        <f t="shared" si="6"/>
        <v>0</v>
      </c>
      <c r="AM23" s="27">
        <f t="shared" si="7"/>
        <v>0</v>
      </c>
      <c r="AN23" s="28" t="str">
        <f t="shared" si="8"/>
        <v>Conforme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1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0.0</v>
      </c>
      <c r="AH24" s="25">
        <v>0.0</v>
      </c>
      <c r="AI24" s="25">
        <v>0.0</v>
      </c>
      <c r="AJ24" s="25">
        <v>0.0</v>
      </c>
      <c r="AK24" s="25">
        <v>0.0</v>
      </c>
      <c r="AL24" s="26">
        <f t="shared" si="6"/>
        <v>0</v>
      </c>
      <c r="AM24" s="27">
        <f t="shared" si="7"/>
        <v>0</v>
      </c>
      <c r="AN24" s="28" t="str">
        <f t="shared" si="8"/>
        <v>Conforme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1"/>
        <v>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8">
        <f t="shared" si="2"/>
        <v>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0.0</v>
      </c>
      <c r="AH25" s="25">
        <v>0.0</v>
      </c>
      <c r="AI25" s="25">
        <v>0.0</v>
      </c>
      <c r="AJ25" s="25">
        <v>0.0</v>
      </c>
      <c r="AK25" s="25">
        <v>0.0</v>
      </c>
      <c r="AL25" s="26">
        <f t="shared" si="6"/>
        <v>0</v>
      </c>
      <c r="AM25" s="27">
        <f t="shared" si="7"/>
        <v>0</v>
      </c>
      <c r="AN25" s="28" t="str">
        <f t="shared" si="8"/>
        <v>Conforme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1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0.0</v>
      </c>
      <c r="AH26" s="25">
        <v>0.0</v>
      </c>
      <c r="AI26" s="25">
        <v>0.0</v>
      </c>
      <c r="AJ26" s="25">
        <v>0.0</v>
      </c>
      <c r="AK26" s="25">
        <v>0.0</v>
      </c>
      <c r="AL26" s="26">
        <f t="shared" si="6"/>
        <v>0</v>
      </c>
      <c r="AM26" s="27">
        <f t="shared" si="7"/>
        <v>0</v>
      </c>
      <c r="AN26" s="28" t="str">
        <f t="shared" si="8"/>
        <v>Conforme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1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8">
        <f t="shared" si="2"/>
        <v>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0.0</v>
      </c>
      <c r="AH27" s="25">
        <v>0.0</v>
      </c>
      <c r="AI27" s="25">
        <v>1.0</v>
      </c>
      <c r="AJ27" s="25">
        <v>0.0</v>
      </c>
      <c r="AK27" s="25">
        <v>1.0</v>
      </c>
      <c r="AL27" s="26">
        <f t="shared" si="6"/>
        <v>2</v>
      </c>
      <c r="AM27" s="27">
        <f t="shared" si="7"/>
        <v>2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1"/>
        <v>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8">
        <f t="shared" si="2"/>
        <v>0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f t="shared" si="3"/>
        <v>0</v>
      </c>
      <c r="U28" s="21">
        <v>0.0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0.0</v>
      </c>
      <c r="AH28" s="25">
        <v>0.0</v>
      </c>
      <c r="AI28" s="25">
        <v>0.0</v>
      </c>
      <c r="AJ28" s="25">
        <v>1.0</v>
      </c>
      <c r="AK28" s="25">
        <v>0.0</v>
      </c>
      <c r="AL28" s="26">
        <f t="shared" si="6"/>
        <v>1</v>
      </c>
      <c r="AM28" s="27">
        <f t="shared" si="7"/>
        <v>1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6">
        <f t="shared" si="1"/>
        <v>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8">
        <f t="shared" si="2"/>
        <v>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22">
        <f t="shared" si="4"/>
        <v>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0.0</v>
      </c>
      <c r="AH29" s="25">
        <v>0.0</v>
      </c>
      <c r="AI29" s="25">
        <v>0.0</v>
      </c>
      <c r="AJ29" s="25">
        <v>0.0</v>
      </c>
      <c r="AK29" s="25">
        <v>0.0</v>
      </c>
      <c r="AL29" s="26">
        <f t="shared" si="6"/>
        <v>0</v>
      </c>
      <c r="AM29" s="27">
        <f t="shared" si="7"/>
        <v>0</v>
      </c>
      <c r="AN29" s="28" t="str">
        <f t="shared" si="8"/>
        <v>Conforme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1"/>
        <v>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8">
        <f t="shared" si="2"/>
        <v>0</v>
      </c>
      <c r="O30" s="19">
        <v>0.0</v>
      </c>
      <c r="P30" s="19">
        <v>0.0</v>
      </c>
      <c r="Q30" s="19">
        <v>1.0</v>
      </c>
      <c r="R30" s="19">
        <v>0.0</v>
      </c>
      <c r="S30" s="19">
        <v>0.0</v>
      </c>
      <c r="T30" s="20">
        <f t="shared" si="3"/>
        <v>1</v>
      </c>
      <c r="U30" s="21">
        <v>0.0</v>
      </c>
      <c r="V30" s="21">
        <v>0.0</v>
      </c>
      <c r="W30" s="21">
        <v>0.0</v>
      </c>
      <c r="X30" s="21">
        <v>0.0</v>
      </c>
      <c r="Y30" s="21">
        <v>0.0</v>
      </c>
      <c r="Z30" s="22">
        <f t="shared" si="4"/>
        <v>0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0.0</v>
      </c>
      <c r="AH30" s="25">
        <v>0.0</v>
      </c>
      <c r="AI30" s="25">
        <v>0.0</v>
      </c>
      <c r="AJ30" s="25">
        <v>0.0</v>
      </c>
      <c r="AK30" s="25">
        <v>0.0</v>
      </c>
      <c r="AL30" s="26">
        <f t="shared" si="6"/>
        <v>0</v>
      </c>
      <c r="AM30" s="27">
        <f t="shared" si="7"/>
        <v>1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1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19">
        <v>0.0</v>
      </c>
      <c r="P31" s="19">
        <v>1.0</v>
      </c>
      <c r="Q31" s="19">
        <v>0.0</v>
      </c>
      <c r="R31" s="19">
        <v>0.0</v>
      </c>
      <c r="S31" s="19">
        <v>0.0</v>
      </c>
      <c r="T31" s="20">
        <f t="shared" si="3"/>
        <v>1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22">
        <f t="shared" si="4"/>
        <v>0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0.0</v>
      </c>
      <c r="AH31" s="25">
        <v>0.0</v>
      </c>
      <c r="AI31" s="25">
        <v>0.0</v>
      </c>
      <c r="AJ31" s="25">
        <v>0.0</v>
      </c>
      <c r="AK31" s="25">
        <v>0.0</v>
      </c>
      <c r="AL31" s="26">
        <f t="shared" si="6"/>
        <v>0</v>
      </c>
      <c r="AM31" s="27">
        <f t="shared" si="7"/>
        <v>2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1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20">
        <f t="shared" si="3"/>
        <v>1</v>
      </c>
      <c r="U32" s="21">
        <v>0.0</v>
      </c>
      <c r="V32" s="21">
        <v>0.0</v>
      </c>
      <c r="W32" s="21">
        <v>0.0</v>
      </c>
      <c r="X32" s="21">
        <v>0.0</v>
      </c>
      <c r="Y32" s="21">
        <v>0.0</v>
      </c>
      <c r="Z32" s="22">
        <f t="shared" si="4"/>
        <v>0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0.0</v>
      </c>
      <c r="AH32" s="25">
        <v>0.0</v>
      </c>
      <c r="AI32" s="25">
        <v>0.0</v>
      </c>
      <c r="AJ32" s="25">
        <v>0.0</v>
      </c>
      <c r="AK32" s="25">
        <v>0.0</v>
      </c>
      <c r="AL32" s="26">
        <f t="shared" si="6"/>
        <v>0</v>
      </c>
      <c r="AM32" s="27">
        <f t="shared" si="7"/>
        <v>1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6">
        <f t="shared" ref="H3:H32" si="1">SUM(C3:G3)</f>
        <v>0</v>
      </c>
      <c r="I3" s="17">
        <v>0.0</v>
      </c>
      <c r="J3" s="17">
        <v>1.0</v>
      </c>
      <c r="K3" s="17">
        <v>0.0</v>
      </c>
      <c r="L3" s="17">
        <v>0.0</v>
      </c>
      <c r="M3" s="17">
        <v>1.0</v>
      </c>
      <c r="N3" s="18">
        <f t="shared" ref="N3:N32" si="2">SUM(I3:M3)</f>
        <v>2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2">
        <f t="shared" ref="Z3:Z32" si="4">SUM(U3:Y3)</f>
        <v>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1.0</v>
      </c>
      <c r="AH3" s="25">
        <v>1.0</v>
      </c>
      <c r="AI3" s="25">
        <v>1.0</v>
      </c>
      <c r="AJ3" s="25">
        <v>0.0</v>
      </c>
      <c r="AK3" s="25">
        <v>0.0</v>
      </c>
      <c r="AL3" s="26">
        <f t="shared" ref="AL3:AL32" si="6">SUM(AG3:AK3)</f>
        <v>3</v>
      </c>
      <c r="AM3" s="27">
        <f t="shared" ref="AM3:AM32" si="7">H3+N3+T3+Z3+AF3+AL3</f>
        <v>5</v>
      </c>
      <c r="AN3" s="28" t="str">
        <f t="shared" ref="AN3:AN32" si="8">IF(AM3=0,"Conforme",IF(AM3&lt;=12,"Atenção","Crítico"))</f>
        <v>Atenção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1.0</v>
      </c>
      <c r="AH4" s="25">
        <v>0.0</v>
      </c>
      <c r="AI4" s="25">
        <v>1.0</v>
      </c>
      <c r="AJ4" s="25">
        <v>1.0</v>
      </c>
      <c r="AK4" s="25">
        <v>1.0</v>
      </c>
      <c r="AL4" s="26">
        <f t="shared" si="6"/>
        <v>4</v>
      </c>
      <c r="AM4" s="27">
        <f t="shared" si="7"/>
        <v>5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5">
        <v>0.0</v>
      </c>
      <c r="F5" s="15">
        <v>0.0</v>
      </c>
      <c r="G5" s="15">
        <v>0.0</v>
      </c>
      <c r="H5" s="16">
        <f t="shared" si="1"/>
        <v>0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1.0</v>
      </c>
      <c r="T5" s="20">
        <f t="shared" si="3"/>
        <v>1</v>
      </c>
      <c r="U5" s="21">
        <v>0.0</v>
      </c>
      <c r="V5" s="21">
        <v>0.0</v>
      </c>
      <c r="W5" s="21">
        <v>0.0</v>
      </c>
      <c r="X5" s="21">
        <v>0.0</v>
      </c>
      <c r="Y5" s="21">
        <v>0.0</v>
      </c>
      <c r="Z5" s="22">
        <f t="shared" si="4"/>
        <v>0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1.0</v>
      </c>
      <c r="AH5" s="25">
        <v>0.0</v>
      </c>
      <c r="AI5" s="25">
        <v>1.0</v>
      </c>
      <c r="AJ5" s="25">
        <v>1.0</v>
      </c>
      <c r="AK5" s="25">
        <v>1.0</v>
      </c>
      <c r="AL5" s="26">
        <f t="shared" si="6"/>
        <v>4</v>
      </c>
      <c r="AM5" s="27">
        <f t="shared" si="7"/>
        <v>5</v>
      </c>
      <c r="AN5" s="28" t="str">
        <f t="shared" si="8"/>
        <v>Atenção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20">
        <f t="shared" si="3"/>
        <v>1</v>
      </c>
      <c r="U6" s="21">
        <v>0.0</v>
      </c>
      <c r="V6" s="21">
        <v>0.0</v>
      </c>
      <c r="W6" s="21">
        <v>0.0</v>
      </c>
      <c r="X6" s="21">
        <v>0.0</v>
      </c>
      <c r="Y6" s="21">
        <v>0.0</v>
      </c>
      <c r="Z6" s="22">
        <f t="shared" si="4"/>
        <v>0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1.0</v>
      </c>
      <c r="AH6" s="25">
        <v>0.0</v>
      </c>
      <c r="AI6" s="25">
        <v>1.0</v>
      </c>
      <c r="AJ6" s="25">
        <v>1.0</v>
      </c>
      <c r="AK6" s="25">
        <v>1.0</v>
      </c>
      <c r="AL6" s="26">
        <f t="shared" si="6"/>
        <v>4</v>
      </c>
      <c r="AM6" s="27">
        <f t="shared" si="7"/>
        <v>5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1.0</v>
      </c>
      <c r="H7" s="16">
        <f t="shared" si="1"/>
        <v>1</v>
      </c>
      <c r="I7" s="17">
        <v>0.0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1</v>
      </c>
      <c r="O7" s="19">
        <v>0.0</v>
      </c>
      <c r="P7" s="19">
        <v>1.0</v>
      </c>
      <c r="Q7" s="19">
        <v>0.0</v>
      </c>
      <c r="R7" s="19">
        <v>0.0</v>
      </c>
      <c r="S7" s="19">
        <v>0.0</v>
      </c>
      <c r="T7" s="20">
        <f t="shared" si="3"/>
        <v>1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2">
        <f t="shared" si="4"/>
        <v>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0</v>
      </c>
      <c r="AG7" s="25">
        <v>1.0</v>
      </c>
      <c r="AH7" s="25">
        <v>1.0</v>
      </c>
      <c r="AI7" s="25">
        <v>1.0</v>
      </c>
      <c r="AJ7" s="25">
        <v>1.0</v>
      </c>
      <c r="AK7" s="25">
        <v>1.0</v>
      </c>
      <c r="AL7" s="26">
        <f t="shared" si="6"/>
        <v>5</v>
      </c>
      <c r="AM7" s="27">
        <f t="shared" si="7"/>
        <v>8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si="1"/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1.0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1</v>
      </c>
      <c r="U8" s="21">
        <v>1.0</v>
      </c>
      <c r="V8" s="21">
        <v>1.0</v>
      </c>
      <c r="W8" s="21">
        <v>0.0</v>
      </c>
      <c r="X8" s="21">
        <v>0.0</v>
      </c>
      <c r="Y8" s="21">
        <v>0.0</v>
      </c>
      <c r="Z8" s="22">
        <f t="shared" si="4"/>
        <v>2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1.0</v>
      </c>
      <c r="AH8" s="25">
        <v>1.0</v>
      </c>
      <c r="AI8" s="25">
        <v>1.0</v>
      </c>
      <c r="AJ8" s="25">
        <v>1.0</v>
      </c>
      <c r="AK8" s="25">
        <v>1.0</v>
      </c>
      <c r="AL8" s="26">
        <f t="shared" si="6"/>
        <v>5</v>
      </c>
      <c r="AM8" s="27">
        <f t="shared" si="7"/>
        <v>8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1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1.0</v>
      </c>
      <c r="P9" s="19">
        <v>1.0</v>
      </c>
      <c r="Q9" s="19">
        <v>0.0</v>
      </c>
      <c r="R9" s="19">
        <v>0.0</v>
      </c>
      <c r="S9" s="19">
        <v>0.0</v>
      </c>
      <c r="T9" s="20">
        <f t="shared" si="3"/>
        <v>2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2">
        <f t="shared" si="4"/>
        <v>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1.0</v>
      </c>
      <c r="AH9" s="25">
        <v>0.0</v>
      </c>
      <c r="AI9" s="25">
        <v>1.0</v>
      </c>
      <c r="AJ9" s="25">
        <v>1.0</v>
      </c>
      <c r="AK9" s="25">
        <v>1.0</v>
      </c>
      <c r="AL9" s="26">
        <f t="shared" si="6"/>
        <v>4</v>
      </c>
      <c r="AM9" s="27">
        <f t="shared" si="7"/>
        <v>7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1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1.0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1</v>
      </c>
      <c r="U10" s="21">
        <v>0.0</v>
      </c>
      <c r="V10" s="21">
        <v>0.0</v>
      </c>
      <c r="W10" s="21">
        <v>1.0</v>
      </c>
      <c r="X10" s="21">
        <v>0.0</v>
      </c>
      <c r="Y10" s="21">
        <v>0.0</v>
      </c>
      <c r="Z10" s="22">
        <f t="shared" si="4"/>
        <v>1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1.0</v>
      </c>
      <c r="AH10" s="25">
        <v>0.0</v>
      </c>
      <c r="AI10" s="25">
        <v>1.0</v>
      </c>
      <c r="AJ10" s="25">
        <v>1.0</v>
      </c>
      <c r="AK10" s="25">
        <v>1.0</v>
      </c>
      <c r="AL10" s="26">
        <f t="shared" si="6"/>
        <v>4</v>
      </c>
      <c r="AM10" s="27">
        <f t="shared" si="7"/>
        <v>6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5">
        <v>1.0</v>
      </c>
      <c r="F11" s="15">
        <v>0.0</v>
      </c>
      <c r="G11" s="15">
        <v>0.0</v>
      </c>
      <c r="H11" s="16">
        <f t="shared" si="1"/>
        <v>1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1.0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1</v>
      </c>
      <c r="U11" s="21">
        <v>0.0</v>
      </c>
      <c r="V11" s="21">
        <v>0.0</v>
      </c>
      <c r="W11" s="21">
        <v>0.0</v>
      </c>
      <c r="X11" s="21">
        <v>1.0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1.0</v>
      </c>
      <c r="AH11" s="25">
        <v>0.0</v>
      </c>
      <c r="AI11" s="25">
        <v>1.0</v>
      </c>
      <c r="AJ11" s="25">
        <v>1.0</v>
      </c>
      <c r="AK11" s="25">
        <v>1.0</v>
      </c>
      <c r="AL11" s="26">
        <f t="shared" si="6"/>
        <v>4</v>
      </c>
      <c r="AM11" s="27">
        <f t="shared" si="7"/>
        <v>7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1.0</v>
      </c>
      <c r="G12" s="15">
        <v>0.0</v>
      </c>
      <c r="H12" s="16">
        <f t="shared" si="1"/>
        <v>1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8">
        <f t="shared" si="2"/>
        <v>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20">
        <f t="shared" si="3"/>
        <v>0</v>
      </c>
      <c r="U12" s="21">
        <v>1.0</v>
      </c>
      <c r="V12" s="21">
        <v>0.0</v>
      </c>
      <c r="W12" s="21">
        <v>0.0</v>
      </c>
      <c r="X12" s="21">
        <v>0.0</v>
      </c>
      <c r="Y12" s="21">
        <v>0.0</v>
      </c>
      <c r="Z12" s="22">
        <f t="shared" si="4"/>
        <v>1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1.0</v>
      </c>
      <c r="AH12" s="25">
        <v>1.0</v>
      </c>
      <c r="AI12" s="25">
        <v>1.0</v>
      </c>
      <c r="AJ12" s="25">
        <v>1.0</v>
      </c>
      <c r="AK12" s="25">
        <v>1.0</v>
      </c>
      <c r="AL12" s="26">
        <f t="shared" si="6"/>
        <v>5</v>
      </c>
      <c r="AM12" s="27">
        <f t="shared" si="7"/>
        <v>7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1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1.0</v>
      </c>
      <c r="R13" s="19">
        <v>0.0</v>
      </c>
      <c r="S13" s="19">
        <v>0.0</v>
      </c>
      <c r="T13" s="20">
        <f t="shared" si="3"/>
        <v>1</v>
      </c>
      <c r="U13" s="21">
        <v>1.0</v>
      </c>
      <c r="V13" s="21">
        <v>0.0</v>
      </c>
      <c r="W13" s="21">
        <v>0.0</v>
      </c>
      <c r="X13" s="21">
        <v>0.0</v>
      </c>
      <c r="Y13" s="21">
        <v>0.0</v>
      </c>
      <c r="Z13" s="22">
        <f t="shared" si="4"/>
        <v>1</v>
      </c>
      <c r="AA13" s="23">
        <v>1.0</v>
      </c>
      <c r="AB13" s="23">
        <v>0.0</v>
      </c>
      <c r="AC13" s="23">
        <v>0.0</v>
      </c>
      <c r="AD13" s="23">
        <v>0.0</v>
      </c>
      <c r="AE13" s="23">
        <v>0.0</v>
      </c>
      <c r="AF13" s="24">
        <f t="shared" si="5"/>
        <v>1</v>
      </c>
      <c r="AG13" s="25">
        <v>1.0</v>
      </c>
      <c r="AH13" s="25">
        <v>1.0</v>
      </c>
      <c r="AI13" s="25">
        <v>1.0</v>
      </c>
      <c r="AJ13" s="25">
        <v>1.0</v>
      </c>
      <c r="AK13" s="25">
        <v>1.0</v>
      </c>
      <c r="AL13" s="26">
        <f t="shared" si="6"/>
        <v>5</v>
      </c>
      <c r="AM13" s="27">
        <f t="shared" si="7"/>
        <v>8</v>
      </c>
      <c r="AN13" s="28" t="str">
        <f t="shared" si="8"/>
        <v>Atenção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1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0.0</v>
      </c>
      <c r="X14" s="21">
        <v>0.0</v>
      </c>
      <c r="Y14" s="21">
        <v>0.0</v>
      </c>
      <c r="Z14" s="22">
        <f t="shared" si="4"/>
        <v>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1.0</v>
      </c>
      <c r="AH14" s="25">
        <v>0.0</v>
      </c>
      <c r="AI14" s="25">
        <v>1.0</v>
      </c>
      <c r="AJ14" s="25">
        <v>1.0</v>
      </c>
      <c r="AK14" s="25">
        <v>1.0</v>
      </c>
      <c r="AL14" s="26">
        <f t="shared" si="6"/>
        <v>4</v>
      </c>
      <c r="AM14" s="27">
        <f t="shared" si="7"/>
        <v>4</v>
      </c>
      <c r="AN14" s="28" t="str">
        <f t="shared" si="8"/>
        <v>Atenção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1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22">
        <f t="shared" si="4"/>
        <v>0</v>
      </c>
      <c r="AA15" s="23">
        <v>1.0</v>
      </c>
      <c r="AB15" s="23">
        <v>0.0</v>
      </c>
      <c r="AC15" s="23">
        <v>0.0</v>
      </c>
      <c r="AD15" s="23">
        <v>0.0</v>
      </c>
      <c r="AE15" s="23">
        <v>0.0</v>
      </c>
      <c r="AF15" s="24">
        <f t="shared" si="5"/>
        <v>1</v>
      </c>
      <c r="AG15" s="25">
        <v>1.0</v>
      </c>
      <c r="AH15" s="25">
        <v>1.0</v>
      </c>
      <c r="AI15" s="25">
        <v>0.0</v>
      </c>
      <c r="AJ15" s="25">
        <v>1.0</v>
      </c>
      <c r="AK15" s="25">
        <v>1.0</v>
      </c>
      <c r="AL15" s="26">
        <f t="shared" si="6"/>
        <v>4</v>
      </c>
      <c r="AM15" s="27">
        <f t="shared" si="7"/>
        <v>5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1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2">
        <f t="shared" si="4"/>
        <v>0</v>
      </c>
      <c r="AA16" s="23">
        <v>0.0</v>
      </c>
      <c r="AB16" s="23">
        <v>1.0</v>
      </c>
      <c r="AC16" s="23">
        <v>0.0</v>
      </c>
      <c r="AD16" s="23">
        <v>0.0</v>
      </c>
      <c r="AE16" s="23">
        <v>0.0</v>
      </c>
      <c r="AF16" s="24">
        <f t="shared" si="5"/>
        <v>1</v>
      </c>
      <c r="AG16" s="25">
        <v>1.0</v>
      </c>
      <c r="AH16" s="25">
        <v>0.0</v>
      </c>
      <c r="AI16" s="25">
        <v>1.0</v>
      </c>
      <c r="AJ16" s="25">
        <v>1.0</v>
      </c>
      <c r="AK16" s="25">
        <v>1.0</v>
      </c>
      <c r="AL16" s="26">
        <f t="shared" si="6"/>
        <v>4</v>
      </c>
      <c r="AM16" s="27">
        <f t="shared" si="7"/>
        <v>5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1"/>
        <v>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8">
        <f t="shared" si="2"/>
        <v>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22">
        <f t="shared" si="4"/>
        <v>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1.0</v>
      </c>
      <c r="AH17" s="25">
        <v>0.0</v>
      </c>
      <c r="AI17" s="25">
        <v>1.0</v>
      </c>
      <c r="AJ17" s="25">
        <v>1.0</v>
      </c>
      <c r="AK17" s="25">
        <v>1.0</v>
      </c>
      <c r="AL17" s="26">
        <f t="shared" si="6"/>
        <v>4</v>
      </c>
      <c r="AM17" s="27">
        <f t="shared" si="7"/>
        <v>4</v>
      </c>
      <c r="AN17" s="28" t="str">
        <f t="shared" si="8"/>
        <v>Atenção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1"/>
        <v>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8">
        <f t="shared" si="2"/>
        <v>0</v>
      </c>
      <c r="O18" s="19">
        <v>0.0</v>
      </c>
      <c r="P18" s="19">
        <v>0.0</v>
      </c>
      <c r="Q18" s="19">
        <v>0.0</v>
      </c>
      <c r="R18" s="19">
        <v>1.0</v>
      </c>
      <c r="S18" s="19">
        <v>0.0</v>
      </c>
      <c r="T18" s="20">
        <f t="shared" si="3"/>
        <v>1</v>
      </c>
      <c r="U18" s="21">
        <v>0.0</v>
      </c>
      <c r="V18" s="21">
        <v>1.0</v>
      </c>
      <c r="W18" s="21">
        <v>0.0</v>
      </c>
      <c r="X18" s="21">
        <v>0.0</v>
      </c>
      <c r="Y18" s="21">
        <v>0.0</v>
      </c>
      <c r="Z18" s="22">
        <f t="shared" si="4"/>
        <v>1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1.0</v>
      </c>
      <c r="AH18" s="25">
        <v>1.0</v>
      </c>
      <c r="AI18" s="25">
        <v>1.0</v>
      </c>
      <c r="AJ18" s="25">
        <v>1.0</v>
      </c>
      <c r="AK18" s="25">
        <v>1.0</v>
      </c>
      <c r="AL18" s="26">
        <f t="shared" si="6"/>
        <v>5</v>
      </c>
      <c r="AM18" s="27">
        <f t="shared" si="7"/>
        <v>7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1"/>
        <v>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8">
        <f t="shared" si="2"/>
        <v>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1.0</v>
      </c>
      <c r="V19" s="21">
        <v>0.0</v>
      </c>
      <c r="W19" s="21">
        <v>0.0</v>
      </c>
      <c r="X19" s="21">
        <v>0.0</v>
      </c>
      <c r="Y19" s="21">
        <v>0.0</v>
      </c>
      <c r="Z19" s="22">
        <f t="shared" si="4"/>
        <v>1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4">
        <f t="shared" si="5"/>
        <v>0</v>
      </c>
      <c r="AG19" s="25">
        <v>1.0</v>
      </c>
      <c r="AH19" s="25">
        <v>0.0</v>
      </c>
      <c r="AI19" s="25">
        <v>1.0</v>
      </c>
      <c r="AJ19" s="25">
        <v>1.0</v>
      </c>
      <c r="AK19" s="25">
        <v>1.0</v>
      </c>
      <c r="AL19" s="26">
        <f t="shared" si="6"/>
        <v>4</v>
      </c>
      <c r="AM19" s="27">
        <f t="shared" si="7"/>
        <v>5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5">
        <v>0.0</v>
      </c>
      <c r="E20" s="15">
        <v>0.0</v>
      </c>
      <c r="F20" s="15">
        <v>0.0</v>
      </c>
      <c r="G20" s="15">
        <v>0.0</v>
      </c>
      <c r="H20" s="16">
        <f t="shared" si="1"/>
        <v>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1.0</v>
      </c>
      <c r="P20" s="19">
        <v>0.0</v>
      </c>
      <c r="Q20" s="19">
        <v>0.0</v>
      </c>
      <c r="R20" s="19">
        <v>0.0</v>
      </c>
      <c r="S20" s="19">
        <v>0.0</v>
      </c>
      <c r="T20" s="20">
        <f t="shared" si="3"/>
        <v>1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1.0</v>
      </c>
      <c r="AH20" s="25">
        <v>1.0</v>
      </c>
      <c r="AI20" s="25">
        <v>1.0</v>
      </c>
      <c r="AJ20" s="25">
        <v>1.0</v>
      </c>
      <c r="AK20" s="25">
        <v>1.0</v>
      </c>
      <c r="AL20" s="26">
        <f t="shared" si="6"/>
        <v>5</v>
      </c>
      <c r="AM20" s="27">
        <f t="shared" si="7"/>
        <v>6</v>
      </c>
      <c r="AN20" s="28" t="str">
        <f t="shared" si="8"/>
        <v>Atenção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1"/>
        <v>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8">
        <f t="shared" si="2"/>
        <v>0</v>
      </c>
      <c r="O21" s="19">
        <v>0.0</v>
      </c>
      <c r="P21" s="19">
        <v>0.0</v>
      </c>
      <c r="Q21" s="19">
        <v>1.0</v>
      </c>
      <c r="R21" s="19">
        <v>0.0</v>
      </c>
      <c r="S21" s="19">
        <v>0.0</v>
      </c>
      <c r="T21" s="20">
        <f t="shared" si="3"/>
        <v>1</v>
      </c>
      <c r="U21" s="21">
        <v>1.0</v>
      </c>
      <c r="V21" s="21">
        <v>1.0</v>
      </c>
      <c r="W21" s="21">
        <v>0.0</v>
      </c>
      <c r="X21" s="21">
        <v>0.0</v>
      </c>
      <c r="Y21" s="21">
        <v>0.0</v>
      </c>
      <c r="Z21" s="22">
        <f t="shared" si="4"/>
        <v>2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0</v>
      </c>
      <c r="AG21" s="25">
        <v>1.0</v>
      </c>
      <c r="AH21" s="25">
        <v>1.0</v>
      </c>
      <c r="AI21" s="25">
        <v>1.0</v>
      </c>
      <c r="AJ21" s="25">
        <v>1.0</v>
      </c>
      <c r="AK21" s="25">
        <v>1.0</v>
      </c>
      <c r="AL21" s="26">
        <f t="shared" si="6"/>
        <v>5</v>
      </c>
      <c r="AM21" s="27">
        <f t="shared" si="7"/>
        <v>8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1"/>
        <v>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8">
        <f t="shared" si="2"/>
        <v>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20">
        <f t="shared" si="3"/>
        <v>1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1.0</v>
      </c>
      <c r="AH22" s="25">
        <v>0.0</v>
      </c>
      <c r="AI22" s="25">
        <v>1.0</v>
      </c>
      <c r="AJ22" s="25">
        <v>1.0</v>
      </c>
      <c r="AK22" s="25">
        <v>1.0</v>
      </c>
      <c r="AL22" s="26">
        <f t="shared" si="6"/>
        <v>4</v>
      </c>
      <c r="AM22" s="27">
        <f t="shared" si="7"/>
        <v>5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1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0</v>
      </c>
      <c r="AG23" s="25">
        <v>1.0</v>
      </c>
      <c r="AH23" s="25">
        <v>0.0</v>
      </c>
      <c r="AI23" s="25">
        <v>1.0</v>
      </c>
      <c r="AJ23" s="25">
        <v>1.0</v>
      </c>
      <c r="AK23" s="25">
        <v>1.0</v>
      </c>
      <c r="AL23" s="26">
        <f t="shared" si="6"/>
        <v>4</v>
      </c>
      <c r="AM23" s="27">
        <f t="shared" si="7"/>
        <v>4</v>
      </c>
      <c r="AN23" s="28" t="str">
        <f t="shared" si="8"/>
        <v>Atenção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1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1.0</v>
      </c>
      <c r="AH24" s="25">
        <v>0.0</v>
      </c>
      <c r="AI24" s="25">
        <v>1.0</v>
      </c>
      <c r="AJ24" s="25">
        <v>1.0</v>
      </c>
      <c r="AK24" s="25">
        <v>1.0</v>
      </c>
      <c r="AL24" s="26">
        <f t="shared" si="6"/>
        <v>4</v>
      </c>
      <c r="AM24" s="27">
        <f t="shared" si="7"/>
        <v>4</v>
      </c>
      <c r="AN24" s="28" t="str">
        <f t="shared" si="8"/>
        <v>Atenção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1"/>
        <v>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8">
        <f t="shared" si="2"/>
        <v>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1.0</v>
      </c>
      <c r="AH25" s="25">
        <v>0.0</v>
      </c>
      <c r="AI25" s="25">
        <v>1.0</v>
      </c>
      <c r="AJ25" s="25">
        <v>1.0</v>
      </c>
      <c r="AK25" s="25">
        <v>1.0</v>
      </c>
      <c r="AL25" s="26">
        <f t="shared" si="6"/>
        <v>4</v>
      </c>
      <c r="AM25" s="27">
        <f t="shared" si="7"/>
        <v>4</v>
      </c>
      <c r="AN25" s="28" t="str">
        <f t="shared" si="8"/>
        <v>Atenção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1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1.0</v>
      </c>
      <c r="AH26" s="25">
        <v>0.0</v>
      </c>
      <c r="AI26" s="25">
        <v>1.0</v>
      </c>
      <c r="AJ26" s="25">
        <v>1.0</v>
      </c>
      <c r="AK26" s="25">
        <v>1.0</v>
      </c>
      <c r="AL26" s="26">
        <f t="shared" si="6"/>
        <v>4</v>
      </c>
      <c r="AM26" s="27">
        <f t="shared" si="7"/>
        <v>4</v>
      </c>
      <c r="AN26" s="28" t="str">
        <f t="shared" si="8"/>
        <v>Atenção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1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8">
        <f t="shared" si="2"/>
        <v>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1.0</v>
      </c>
      <c r="AH27" s="25">
        <v>0.0</v>
      </c>
      <c r="AI27" s="25">
        <v>1.0</v>
      </c>
      <c r="AJ27" s="25">
        <v>1.0</v>
      </c>
      <c r="AK27" s="25">
        <v>1.0</v>
      </c>
      <c r="AL27" s="26">
        <f t="shared" si="6"/>
        <v>4</v>
      </c>
      <c r="AM27" s="27">
        <f t="shared" si="7"/>
        <v>4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1"/>
        <v>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8">
        <f t="shared" si="2"/>
        <v>0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f t="shared" si="3"/>
        <v>0</v>
      </c>
      <c r="U28" s="21">
        <v>0.0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1.0</v>
      </c>
      <c r="AH28" s="25">
        <v>0.0</v>
      </c>
      <c r="AI28" s="25">
        <v>1.0</v>
      </c>
      <c r="AJ28" s="25">
        <v>1.0</v>
      </c>
      <c r="AK28" s="25">
        <v>1.0</v>
      </c>
      <c r="AL28" s="26">
        <f t="shared" si="6"/>
        <v>4</v>
      </c>
      <c r="AM28" s="27">
        <f t="shared" si="7"/>
        <v>4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6">
        <f t="shared" si="1"/>
        <v>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8">
        <f t="shared" si="2"/>
        <v>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22">
        <f t="shared" si="4"/>
        <v>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1.0</v>
      </c>
      <c r="AH29" s="25">
        <v>0.0</v>
      </c>
      <c r="AI29" s="25">
        <v>1.0</v>
      </c>
      <c r="AJ29" s="25">
        <v>1.0</v>
      </c>
      <c r="AK29" s="25">
        <v>1.0</v>
      </c>
      <c r="AL29" s="26">
        <f t="shared" si="6"/>
        <v>4</v>
      </c>
      <c r="AM29" s="27">
        <f t="shared" si="7"/>
        <v>4</v>
      </c>
      <c r="AN29" s="28" t="str">
        <f t="shared" si="8"/>
        <v>Atenção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1"/>
        <v>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8">
        <f t="shared" si="2"/>
        <v>0</v>
      </c>
      <c r="O30" s="19">
        <v>0.0</v>
      </c>
      <c r="P30" s="19">
        <v>0.0</v>
      </c>
      <c r="Q30" s="19">
        <v>0.0</v>
      </c>
      <c r="R30" s="19">
        <v>1.0</v>
      </c>
      <c r="S30" s="19">
        <v>0.0</v>
      </c>
      <c r="T30" s="20">
        <f t="shared" si="3"/>
        <v>1</v>
      </c>
      <c r="U30" s="21">
        <v>0.0</v>
      </c>
      <c r="V30" s="21">
        <v>1.0</v>
      </c>
      <c r="W30" s="21">
        <v>0.0</v>
      </c>
      <c r="X30" s="21">
        <v>0.0</v>
      </c>
      <c r="Y30" s="21">
        <v>0.0</v>
      </c>
      <c r="Z30" s="22">
        <f t="shared" si="4"/>
        <v>1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1.0</v>
      </c>
      <c r="AH30" s="25">
        <v>1.0</v>
      </c>
      <c r="AI30" s="25">
        <v>1.0</v>
      </c>
      <c r="AJ30" s="25">
        <v>1.0</v>
      </c>
      <c r="AK30" s="25">
        <v>1.0</v>
      </c>
      <c r="AL30" s="26">
        <f t="shared" si="6"/>
        <v>5</v>
      </c>
      <c r="AM30" s="27">
        <f t="shared" si="7"/>
        <v>7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1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19">
        <v>0.0</v>
      </c>
      <c r="P31" s="19">
        <v>1.0</v>
      </c>
      <c r="Q31" s="19">
        <v>0.0</v>
      </c>
      <c r="R31" s="19">
        <v>0.0</v>
      </c>
      <c r="S31" s="19">
        <v>0.0</v>
      </c>
      <c r="T31" s="20">
        <f t="shared" si="3"/>
        <v>1</v>
      </c>
      <c r="U31" s="21">
        <v>1.0</v>
      </c>
      <c r="V31" s="21">
        <v>1.0</v>
      </c>
      <c r="W31" s="21">
        <v>0.0</v>
      </c>
      <c r="X31" s="21">
        <v>0.0</v>
      </c>
      <c r="Y31" s="21">
        <v>0.0</v>
      </c>
      <c r="Z31" s="22">
        <f t="shared" si="4"/>
        <v>2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1.0</v>
      </c>
      <c r="AH31" s="25">
        <v>1.0</v>
      </c>
      <c r="AI31" s="25">
        <v>1.0</v>
      </c>
      <c r="AJ31" s="25">
        <v>1.0</v>
      </c>
      <c r="AK31" s="25">
        <v>1.0</v>
      </c>
      <c r="AL31" s="26">
        <f t="shared" si="6"/>
        <v>5</v>
      </c>
      <c r="AM31" s="27">
        <f t="shared" si="7"/>
        <v>9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1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0.0</v>
      </c>
      <c r="T32" s="20">
        <f t="shared" si="3"/>
        <v>0</v>
      </c>
      <c r="U32" s="21">
        <v>1.0</v>
      </c>
      <c r="V32" s="21">
        <v>1.0</v>
      </c>
      <c r="W32" s="21">
        <v>0.0</v>
      </c>
      <c r="X32" s="21">
        <v>0.0</v>
      </c>
      <c r="Y32" s="21">
        <v>0.0</v>
      </c>
      <c r="Z32" s="22">
        <f t="shared" si="4"/>
        <v>2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1.0</v>
      </c>
      <c r="AH32" s="25">
        <v>0.0</v>
      </c>
      <c r="AI32" s="25">
        <v>1.0</v>
      </c>
      <c r="AJ32" s="25">
        <v>1.0</v>
      </c>
      <c r="AK32" s="25">
        <v>1.0</v>
      </c>
      <c r="AL32" s="26">
        <f t="shared" si="6"/>
        <v>4</v>
      </c>
      <c r="AM32" s="27">
        <f t="shared" si="7"/>
        <v>6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6">
        <f t="shared" ref="H3:H32" si="1">SUM(C3:G3)</f>
        <v>0</v>
      </c>
      <c r="I3" s="17">
        <v>0.0</v>
      </c>
      <c r="J3" s="17">
        <v>0.0</v>
      </c>
      <c r="K3" s="17">
        <v>0.0</v>
      </c>
      <c r="L3" s="17">
        <v>0.0</v>
      </c>
      <c r="M3" s="17">
        <v>0.0</v>
      </c>
      <c r="N3" s="18">
        <f t="shared" ref="N3:N32" si="2">SUM(I3:M3)</f>
        <v>0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2">
        <f t="shared" ref="Z3:Z32" si="4">SUM(U3:Y3)</f>
        <v>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0.0</v>
      </c>
      <c r="AH3" s="25">
        <v>0.0</v>
      </c>
      <c r="AI3" s="25">
        <v>0.0</v>
      </c>
      <c r="AJ3" s="25">
        <v>0.0</v>
      </c>
      <c r="AK3" s="25">
        <v>0.0</v>
      </c>
      <c r="AL3" s="26">
        <f t="shared" ref="AL3:AL32" si="6">SUM(AG3:AK3)</f>
        <v>0</v>
      </c>
      <c r="AM3" s="27">
        <f t="shared" ref="AM3:AM32" si="7">H3+N3+T3+Z3+AF3+AL3</f>
        <v>0</v>
      </c>
      <c r="AN3" s="28" t="str">
        <f t="shared" ref="AN3:AN32" si="8">IF(AM3=0,"Conforme",IF(AM3&lt;=12,"Atenção","Crítico"))</f>
        <v>Conforme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0.0</v>
      </c>
      <c r="AH4" s="25">
        <v>0.0</v>
      </c>
      <c r="AI4" s="25">
        <v>0.0</v>
      </c>
      <c r="AJ4" s="25">
        <v>0.0</v>
      </c>
      <c r="AK4" s="25">
        <v>0.0</v>
      </c>
      <c r="AL4" s="26">
        <f t="shared" si="6"/>
        <v>0</v>
      </c>
      <c r="AM4" s="27">
        <f t="shared" si="7"/>
        <v>1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5">
        <v>0.0</v>
      </c>
      <c r="F5" s="15">
        <v>0.0</v>
      </c>
      <c r="G5" s="15">
        <v>0.0</v>
      </c>
      <c r="H5" s="16">
        <f t="shared" si="1"/>
        <v>0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20">
        <f t="shared" si="3"/>
        <v>0</v>
      </c>
      <c r="U5" s="21">
        <v>0.0</v>
      </c>
      <c r="V5" s="21">
        <v>0.0</v>
      </c>
      <c r="W5" s="21">
        <v>0.0</v>
      </c>
      <c r="X5" s="21">
        <v>0.0</v>
      </c>
      <c r="Y5" s="21">
        <v>0.0</v>
      </c>
      <c r="Z5" s="22">
        <f t="shared" si="4"/>
        <v>0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6">
        <f t="shared" si="6"/>
        <v>0</v>
      </c>
      <c r="AM5" s="27">
        <f t="shared" si="7"/>
        <v>0</v>
      </c>
      <c r="AN5" s="28" t="str">
        <f t="shared" si="8"/>
        <v>Conforme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20">
        <f t="shared" si="3"/>
        <v>1</v>
      </c>
      <c r="U6" s="21">
        <v>0.0</v>
      </c>
      <c r="V6" s="21">
        <v>0.0</v>
      </c>
      <c r="W6" s="21">
        <v>0.0</v>
      </c>
      <c r="X6" s="21">
        <v>0.0</v>
      </c>
      <c r="Y6" s="21">
        <v>0.0</v>
      </c>
      <c r="Z6" s="22">
        <f t="shared" si="4"/>
        <v>0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0.0</v>
      </c>
      <c r="AH6" s="25">
        <v>0.0</v>
      </c>
      <c r="AI6" s="25">
        <v>0.0</v>
      </c>
      <c r="AJ6" s="25">
        <v>0.0</v>
      </c>
      <c r="AK6" s="25">
        <v>0.0</v>
      </c>
      <c r="AL6" s="26">
        <f t="shared" si="6"/>
        <v>0</v>
      </c>
      <c r="AM6" s="27">
        <f t="shared" si="7"/>
        <v>1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1.0</v>
      </c>
      <c r="H7" s="16">
        <f t="shared" si="1"/>
        <v>1</v>
      </c>
      <c r="I7" s="17">
        <v>0.0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1</v>
      </c>
      <c r="O7" s="19">
        <v>0.0</v>
      </c>
      <c r="P7" s="19">
        <v>0.0</v>
      </c>
      <c r="Q7" s="19">
        <v>0.0</v>
      </c>
      <c r="R7" s="19">
        <v>0.0</v>
      </c>
      <c r="S7" s="19">
        <v>0.0</v>
      </c>
      <c r="T7" s="20">
        <f t="shared" si="3"/>
        <v>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2">
        <f t="shared" si="4"/>
        <v>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0</v>
      </c>
      <c r="AG7" s="25">
        <v>0.0</v>
      </c>
      <c r="AH7" s="25">
        <v>0.0</v>
      </c>
      <c r="AI7" s="25">
        <v>0.0</v>
      </c>
      <c r="AJ7" s="25">
        <v>0.0</v>
      </c>
      <c r="AK7" s="25">
        <v>0.0</v>
      </c>
      <c r="AL7" s="26">
        <f t="shared" si="6"/>
        <v>0</v>
      </c>
      <c r="AM7" s="27">
        <f t="shared" si="7"/>
        <v>2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si="1"/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0</v>
      </c>
      <c r="U8" s="21">
        <v>1.0</v>
      </c>
      <c r="V8" s="21">
        <v>0.0</v>
      </c>
      <c r="W8" s="21">
        <v>0.0</v>
      </c>
      <c r="X8" s="21">
        <v>0.0</v>
      </c>
      <c r="Y8" s="21">
        <v>1.0</v>
      </c>
      <c r="Z8" s="22">
        <f t="shared" si="4"/>
        <v>2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0.0</v>
      </c>
      <c r="AH8" s="25">
        <v>1.0</v>
      </c>
      <c r="AI8" s="25">
        <v>0.0</v>
      </c>
      <c r="AJ8" s="25">
        <v>0.0</v>
      </c>
      <c r="AK8" s="25">
        <v>0.0</v>
      </c>
      <c r="AL8" s="26">
        <f t="shared" si="6"/>
        <v>1</v>
      </c>
      <c r="AM8" s="27">
        <f t="shared" si="7"/>
        <v>3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1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20">
        <f t="shared" si="3"/>
        <v>0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2">
        <f t="shared" si="4"/>
        <v>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0.0</v>
      </c>
      <c r="AH9" s="25">
        <v>0.0</v>
      </c>
      <c r="AI9" s="25">
        <v>0.0</v>
      </c>
      <c r="AJ9" s="25">
        <v>0.0</v>
      </c>
      <c r="AK9" s="25">
        <v>0.0</v>
      </c>
      <c r="AL9" s="26">
        <f t="shared" si="6"/>
        <v>0</v>
      </c>
      <c r="AM9" s="27">
        <f t="shared" si="7"/>
        <v>1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1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0</v>
      </c>
      <c r="U10" s="21">
        <v>0.0</v>
      </c>
      <c r="V10" s="21">
        <v>0.0</v>
      </c>
      <c r="W10" s="21">
        <v>1.0</v>
      </c>
      <c r="X10" s="21">
        <v>0.0</v>
      </c>
      <c r="Y10" s="21">
        <v>0.0</v>
      </c>
      <c r="Z10" s="22">
        <f t="shared" si="4"/>
        <v>1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0.0</v>
      </c>
      <c r="AH10" s="25">
        <v>0.0</v>
      </c>
      <c r="AI10" s="25">
        <v>0.0</v>
      </c>
      <c r="AJ10" s="25">
        <v>0.0</v>
      </c>
      <c r="AK10" s="25">
        <v>0.0</v>
      </c>
      <c r="AL10" s="26">
        <f t="shared" si="6"/>
        <v>0</v>
      </c>
      <c r="AM10" s="27">
        <f t="shared" si="7"/>
        <v>1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5">
        <v>1.0</v>
      </c>
      <c r="F11" s="15">
        <v>0.0</v>
      </c>
      <c r="G11" s="15">
        <v>0.0</v>
      </c>
      <c r="H11" s="16">
        <f t="shared" si="1"/>
        <v>1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0</v>
      </c>
      <c r="U11" s="21">
        <v>0.0</v>
      </c>
      <c r="V11" s="21">
        <v>0.0</v>
      </c>
      <c r="W11" s="21">
        <v>0.0</v>
      </c>
      <c r="X11" s="21">
        <v>1.0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  <c r="AL11" s="26">
        <f t="shared" si="6"/>
        <v>0</v>
      </c>
      <c r="AM11" s="27">
        <f t="shared" si="7"/>
        <v>2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1.0</v>
      </c>
      <c r="G12" s="15">
        <v>0.0</v>
      </c>
      <c r="H12" s="16">
        <f t="shared" si="1"/>
        <v>1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8">
        <f t="shared" si="2"/>
        <v>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20">
        <f t="shared" si="3"/>
        <v>0</v>
      </c>
      <c r="U12" s="21">
        <v>0.0</v>
      </c>
      <c r="V12" s="21">
        <v>0.0</v>
      </c>
      <c r="W12" s="21">
        <v>0.0</v>
      </c>
      <c r="X12" s="21">
        <v>0.0</v>
      </c>
      <c r="Y12" s="21">
        <v>0.0</v>
      </c>
      <c r="Z12" s="22">
        <f t="shared" si="4"/>
        <v>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0.0</v>
      </c>
      <c r="AH12" s="25">
        <v>0.0</v>
      </c>
      <c r="AI12" s="25">
        <v>0.0</v>
      </c>
      <c r="AJ12" s="25">
        <v>0.0</v>
      </c>
      <c r="AK12" s="25">
        <v>0.0</v>
      </c>
      <c r="AL12" s="26">
        <f t="shared" si="6"/>
        <v>0</v>
      </c>
      <c r="AM12" s="27">
        <f t="shared" si="7"/>
        <v>1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1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20">
        <f t="shared" si="3"/>
        <v>0</v>
      </c>
      <c r="U13" s="21">
        <v>0.0</v>
      </c>
      <c r="V13" s="21">
        <v>0.0</v>
      </c>
      <c r="W13" s="21">
        <v>0.0</v>
      </c>
      <c r="X13" s="21">
        <v>0.0</v>
      </c>
      <c r="Y13" s="21">
        <v>0.0</v>
      </c>
      <c r="Z13" s="22">
        <f t="shared" si="4"/>
        <v>0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4">
        <f t="shared" si="5"/>
        <v>0</v>
      </c>
      <c r="AG13" s="25">
        <v>0.0</v>
      </c>
      <c r="AH13" s="25">
        <v>0.0</v>
      </c>
      <c r="AI13" s="25">
        <v>0.0</v>
      </c>
      <c r="AJ13" s="25">
        <v>0.0</v>
      </c>
      <c r="AK13" s="25">
        <v>0.0</v>
      </c>
      <c r="AL13" s="26">
        <f t="shared" si="6"/>
        <v>0</v>
      </c>
      <c r="AM13" s="27">
        <f t="shared" si="7"/>
        <v>0</v>
      </c>
      <c r="AN13" s="28" t="str">
        <f t="shared" si="8"/>
        <v>Conforme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1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0.0</v>
      </c>
      <c r="X14" s="21">
        <v>0.0</v>
      </c>
      <c r="Y14" s="21">
        <v>0.0</v>
      </c>
      <c r="Z14" s="22">
        <f t="shared" si="4"/>
        <v>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0.0</v>
      </c>
      <c r="AH14" s="25">
        <v>0.0</v>
      </c>
      <c r="AI14" s="25">
        <v>0.0</v>
      </c>
      <c r="AJ14" s="25">
        <v>0.0</v>
      </c>
      <c r="AK14" s="25">
        <v>0.0</v>
      </c>
      <c r="AL14" s="26">
        <f t="shared" si="6"/>
        <v>0</v>
      </c>
      <c r="AM14" s="27">
        <f t="shared" si="7"/>
        <v>0</v>
      </c>
      <c r="AN14" s="28" t="str">
        <f t="shared" si="8"/>
        <v>Conforme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1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22">
        <f t="shared" si="4"/>
        <v>0</v>
      </c>
      <c r="AA15" s="23">
        <v>1.0</v>
      </c>
      <c r="AB15" s="23">
        <v>0.0</v>
      </c>
      <c r="AC15" s="23">
        <v>0.0</v>
      </c>
      <c r="AD15" s="23">
        <v>0.0</v>
      </c>
      <c r="AE15" s="23">
        <v>0.0</v>
      </c>
      <c r="AF15" s="24">
        <f t="shared" si="5"/>
        <v>1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  <c r="AL15" s="26">
        <f t="shared" si="6"/>
        <v>0</v>
      </c>
      <c r="AM15" s="27">
        <f t="shared" si="7"/>
        <v>1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1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2">
        <f t="shared" si="4"/>
        <v>0</v>
      </c>
      <c r="AA16" s="23">
        <v>0.0</v>
      </c>
      <c r="AB16" s="23">
        <v>1.0</v>
      </c>
      <c r="AC16" s="23">
        <v>0.0</v>
      </c>
      <c r="AD16" s="23">
        <v>0.0</v>
      </c>
      <c r="AE16" s="23">
        <v>0.0</v>
      </c>
      <c r="AF16" s="24">
        <f t="shared" si="5"/>
        <v>1</v>
      </c>
      <c r="AG16" s="25">
        <v>0.0</v>
      </c>
      <c r="AH16" s="25">
        <v>0.0</v>
      </c>
      <c r="AI16" s="25">
        <v>0.0</v>
      </c>
      <c r="AJ16" s="25">
        <v>0.0</v>
      </c>
      <c r="AK16" s="25">
        <v>0.0</v>
      </c>
      <c r="AL16" s="26">
        <f t="shared" si="6"/>
        <v>0</v>
      </c>
      <c r="AM16" s="27">
        <f t="shared" si="7"/>
        <v>1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1"/>
        <v>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8">
        <f t="shared" si="2"/>
        <v>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22">
        <f t="shared" si="4"/>
        <v>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0.0</v>
      </c>
      <c r="AH17" s="25">
        <v>0.0</v>
      </c>
      <c r="AI17" s="25">
        <v>0.0</v>
      </c>
      <c r="AJ17" s="25">
        <v>0.0</v>
      </c>
      <c r="AK17" s="25">
        <v>0.0</v>
      </c>
      <c r="AL17" s="26">
        <f t="shared" si="6"/>
        <v>0</v>
      </c>
      <c r="AM17" s="27">
        <f t="shared" si="7"/>
        <v>0</v>
      </c>
      <c r="AN17" s="28" t="str">
        <f t="shared" si="8"/>
        <v>Conforme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1"/>
        <v>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8">
        <f t="shared" si="2"/>
        <v>0</v>
      </c>
      <c r="O18" s="19">
        <v>0.0</v>
      </c>
      <c r="P18" s="19">
        <v>0.0</v>
      </c>
      <c r="Q18" s="19">
        <v>0.0</v>
      </c>
      <c r="R18" s="19">
        <v>0.0</v>
      </c>
      <c r="S18" s="19">
        <v>0.0</v>
      </c>
      <c r="T18" s="20">
        <f t="shared" si="3"/>
        <v>0</v>
      </c>
      <c r="U18" s="21">
        <v>0.0</v>
      </c>
      <c r="V18" s="21">
        <v>1.0</v>
      </c>
      <c r="W18" s="21">
        <v>0.0</v>
      </c>
      <c r="X18" s="21">
        <v>0.0</v>
      </c>
      <c r="Y18" s="21">
        <v>0.0</v>
      </c>
      <c r="Z18" s="22">
        <f t="shared" si="4"/>
        <v>1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0.0</v>
      </c>
      <c r="AH18" s="25">
        <v>0.0</v>
      </c>
      <c r="AI18" s="25">
        <v>0.0</v>
      </c>
      <c r="AJ18" s="25">
        <v>0.0</v>
      </c>
      <c r="AK18" s="25">
        <v>0.0</v>
      </c>
      <c r="AL18" s="26">
        <f t="shared" si="6"/>
        <v>0</v>
      </c>
      <c r="AM18" s="27">
        <f t="shared" si="7"/>
        <v>1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1"/>
        <v>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8">
        <f t="shared" si="2"/>
        <v>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0.0</v>
      </c>
      <c r="V19" s="21">
        <v>0.0</v>
      </c>
      <c r="W19" s="21">
        <v>0.0</v>
      </c>
      <c r="X19" s="21">
        <v>0.0</v>
      </c>
      <c r="Y19" s="21">
        <v>0.0</v>
      </c>
      <c r="Z19" s="22">
        <f t="shared" si="4"/>
        <v>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4">
        <f t="shared" si="5"/>
        <v>0</v>
      </c>
      <c r="AG19" s="25">
        <v>0.0</v>
      </c>
      <c r="AH19" s="25">
        <v>0.0</v>
      </c>
      <c r="AI19" s="25">
        <v>0.0</v>
      </c>
      <c r="AJ19" s="25">
        <v>0.0</v>
      </c>
      <c r="AK19" s="25">
        <v>1.0</v>
      </c>
      <c r="AL19" s="26">
        <f t="shared" si="6"/>
        <v>1</v>
      </c>
      <c r="AM19" s="27">
        <f t="shared" si="7"/>
        <v>1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5">
        <v>0.0</v>
      </c>
      <c r="E20" s="15">
        <v>0.0</v>
      </c>
      <c r="F20" s="15">
        <v>0.0</v>
      </c>
      <c r="G20" s="15">
        <v>0.0</v>
      </c>
      <c r="H20" s="16">
        <f t="shared" si="1"/>
        <v>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f t="shared" si="3"/>
        <v>0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0.0</v>
      </c>
      <c r="AH20" s="25">
        <v>0.0</v>
      </c>
      <c r="AI20" s="25">
        <v>0.0</v>
      </c>
      <c r="AJ20" s="25">
        <v>0.0</v>
      </c>
      <c r="AK20" s="25">
        <v>0.0</v>
      </c>
      <c r="AL20" s="26">
        <f t="shared" si="6"/>
        <v>0</v>
      </c>
      <c r="AM20" s="27">
        <f t="shared" si="7"/>
        <v>0</v>
      </c>
      <c r="AN20" s="28" t="str">
        <f t="shared" si="8"/>
        <v>Conforme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1"/>
        <v>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8">
        <f t="shared" si="2"/>
        <v>0</v>
      </c>
      <c r="O21" s="19">
        <v>0.0</v>
      </c>
      <c r="P21" s="19">
        <v>0.0</v>
      </c>
      <c r="Q21" s="19">
        <v>1.0</v>
      </c>
      <c r="R21" s="19">
        <v>0.0</v>
      </c>
      <c r="S21" s="19">
        <v>0.0</v>
      </c>
      <c r="T21" s="20">
        <f t="shared" si="3"/>
        <v>1</v>
      </c>
      <c r="U21" s="21">
        <v>0.0</v>
      </c>
      <c r="V21" s="21">
        <v>1.0</v>
      </c>
      <c r="W21" s="21">
        <v>0.0</v>
      </c>
      <c r="X21" s="21">
        <v>0.0</v>
      </c>
      <c r="Y21" s="21">
        <v>0.0</v>
      </c>
      <c r="Z21" s="22">
        <f t="shared" si="4"/>
        <v>1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0</v>
      </c>
      <c r="AG21" s="25">
        <v>0.0</v>
      </c>
      <c r="AH21" s="25">
        <v>0.0</v>
      </c>
      <c r="AI21" s="25">
        <v>0.0</v>
      </c>
      <c r="AJ21" s="25">
        <v>0.0</v>
      </c>
      <c r="AK21" s="25">
        <v>0.0</v>
      </c>
      <c r="AL21" s="26">
        <f t="shared" si="6"/>
        <v>0</v>
      </c>
      <c r="AM21" s="27">
        <f t="shared" si="7"/>
        <v>2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1"/>
        <v>0</v>
      </c>
      <c r="I22" s="17">
        <v>0.0</v>
      </c>
      <c r="J22" s="17">
        <v>0.0</v>
      </c>
      <c r="K22" s="17">
        <v>0.0</v>
      </c>
      <c r="L22" s="17">
        <v>1.0</v>
      </c>
      <c r="M22" s="17">
        <v>0.0</v>
      </c>
      <c r="N22" s="18">
        <f t="shared" si="2"/>
        <v>1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20">
        <f t="shared" si="3"/>
        <v>0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0.0</v>
      </c>
      <c r="AH22" s="25">
        <v>0.0</v>
      </c>
      <c r="AI22" s="25">
        <v>0.0</v>
      </c>
      <c r="AJ22" s="25">
        <v>0.0</v>
      </c>
      <c r="AK22" s="25">
        <v>0.0</v>
      </c>
      <c r="AL22" s="26">
        <f t="shared" si="6"/>
        <v>0</v>
      </c>
      <c r="AM22" s="27">
        <f t="shared" si="7"/>
        <v>1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1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0</v>
      </c>
      <c r="AG23" s="25">
        <v>0.0</v>
      </c>
      <c r="AH23" s="25">
        <v>0.0</v>
      </c>
      <c r="AI23" s="25">
        <v>0.0</v>
      </c>
      <c r="AJ23" s="25">
        <v>0.0</v>
      </c>
      <c r="AK23" s="25">
        <v>0.0</v>
      </c>
      <c r="AL23" s="26">
        <f t="shared" si="6"/>
        <v>0</v>
      </c>
      <c r="AM23" s="27">
        <f t="shared" si="7"/>
        <v>0</v>
      </c>
      <c r="AN23" s="28" t="str">
        <f t="shared" si="8"/>
        <v>Conforme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1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0.0</v>
      </c>
      <c r="AH24" s="25">
        <v>0.0</v>
      </c>
      <c r="AI24" s="25">
        <v>0.0</v>
      </c>
      <c r="AJ24" s="25">
        <v>0.0</v>
      </c>
      <c r="AK24" s="25">
        <v>0.0</v>
      </c>
      <c r="AL24" s="26">
        <f t="shared" si="6"/>
        <v>0</v>
      </c>
      <c r="AM24" s="27">
        <f t="shared" si="7"/>
        <v>0</v>
      </c>
      <c r="AN24" s="28" t="str">
        <f t="shared" si="8"/>
        <v>Conforme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1"/>
        <v>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8">
        <f t="shared" si="2"/>
        <v>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0.0</v>
      </c>
      <c r="AH25" s="25">
        <v>0.0</v>
      </c>
      <c r="AI25" s="25">
        <v>0.0</v>
      </c>
      <c r="AJ25" s="25">
        <v>0.0</v>
      </c>
      <c r="AK25" s="25">
        <v>0.0</v>
      </c>
      <c r="AL25" s="26">
        <f t="shared" si="6"/>
        <v>0</v>
      </c>
      <c r="AM25" s="27">
        <f t="shared" si="7"/>
        <v>0</v>
      </c>
      <c r="AN25" s="28" t="str">
        <f t="shared" si="8"/>
        <v>Conforme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1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0.0</v>
      </c>
      <c r="AH26" s="25">
        <v>0.0</v>
      </c>
      <c r="AI26" s="25">
        <v>0.0</v>
      </c>
      <c r="AJ26" s="25">
        <v>0.0</v>
      </c>
      <c r="AK26" s="25">
        <v>0.0</v>
      </c>
      <c r="AL26" s="26">
        <f t="shared" si="6"/>
        <v>0</v>
      </c>
      <c r="AM26" s="27">
        <f t="shared" si="7"/>
        <v>0</v>
      </c>
      <c r="AN26" s="28" t="str">
        <f t="shared" si="8"/>
        <v>Conforme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1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8">
        <f t="shared" si="2"/>
        <v>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0.0</v>
      </c>
      <c r="AH27" s="25">
        <v>0.0</v>
      </c>
      <c r="AI27" s="25">
        <v>1.0</v>
      </c>
      <c r="AJ27" s="25">
        <v>0.0</v>
      </c>
      <c r="AK27" s="25">
        <v>1.0</v>
      </c>
      <c r="AL27" s="26">
        <f t="shared" si="6"/>
        <v>2</v>
      </c>
      <c r="AM27" s="27">
        <f t="shared" si="7"/>
        <v>2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1"/>
        <v>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8">
        <f t="shared" si="2"/>
        <v>0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f t="shared" si="3"/>
        <v>0</v>
      </c>
      <c r="U28" s="21">
        <v>0.0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0.0</v>
      </c>
      <c r="AH28" s="25">
        <v>0.0</v>
      </c>
      <c r="AI28" s="25">
        <v>0.0</v>
      </c>
      <c r="AJ28" s="25">
        <v>1.0</v>
      </c>
      <c r="AK28" s="25">
        <v>0.0</v>
      </c>
      <c r="AL28" s="26">
        <f t="shared" si="6"/>
        <v>1</v>
      </c>
      <c r="AM28" s="27">
        <f t="shared" si="7"/>
        <v>1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6">
        <f t="shared" si="1"/>
        <v>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8">
        <f t="shared" si="2"/>
        <v>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22">
        <f t="shared" si="4"/>
        <v>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0.0</v>
      </c>
      <c r="AH29" s="25">
        <v>0.0</v>
      </c>
      <c r="AI29" s="25">
        <v>0.0</v>
      </c>
      <c r="AJ29" s="25">
        <v>0.0</v>
      </c>
      <c r="AK29" s="25">
        <v>0.0</v>
      </c>
      <c r="AL29" s="26">
        <f t="shared" si="6"/>
        <v>0</v>
      </c>
      <c r="AM29" s="27">
        <f t="shared" si="7"/>
        <v>0</v>
      </c>
      <c r="AN29" s="28" t="str">
        <f t="shared" si="8"/>
        <v>Conforme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1"/>
        <v>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8">
        <f t="shared" si="2"/>
        <v>0</v>
      </c>
      <c r="O30" s="19">
        <v>0.0</v>
      </c>
      <c r="P30" s="19">
        <v>0.0</v>
      </c>
      <c r="Q30" s="19">
        <v>1.0</v>
      </c>
      <c r="R30" s="19">
        <v>0.0</v>
      </c>
      <c r="S30" s="19">
        <v>0.0</v>
      </c>
      <c r="T30" s="20">
        <f t="shared" si="3"/>
        <v>1</v>
      </c>
      <c r="U30" s="21">
        <v>0.0</v>
      </c>
      <c r="V30" s="21">
        <v>0.0</v>
      </c>
      <c r="W30" s="21">
        <v>0.0</v>
      </c>
      <c r="X30" s="21">
        <v>0.0</v>
      </c>
      <c r="Y30" s="21">
        <v>0.0</v>
      </c>
      <c r="Z30" s="22">
        <f t="shared" si="4"/>
        <v>0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0.0</v>
      </c>
      <c r="AH30" s="25">
        <v>0.0</v>
      </c>
      <c r="AI30" s="25">
        <v>0.0</v>
      </c>
      <c r="AJ30" s="25">
        <v>0.0</v>
      </c>
      <c r="AK30" s="25">
        <v>0.0</v>
      </c>
      <c r="AL30" s="26">
        <f t="shared" si="6"/>
        <v>0</v>
      </c>
      <c r="AM30" s="27">
        <f t="shared" si="7"/>
        <v>1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1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19">
        <v>0.0</v>
      </c>
      <c r="P31" s="19">
        <v>1.0</v>
      </c>
      <c r="Q31" s="19">
        <v>0.0</v>
      </c>
      <c r="R31" s="19">
        <v>0.0</v>
      </c>
      <c r="S31" s="19">
        <v>0.0</v>
      </c>
      <c r="T31" s="20">
        <f t="shared" si="3"/>
        <v>1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22">
        <f t="shared" si="4"/>
        <v>0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0.0</v>
      </c>
      <c r="AH31" s="25">
        <v>0.0</v>
      </c>
      <c r="AI31" s="25">
        <v>0.0</v>
      </c>
      <c r="AJ31" s="25">
        <v>0.0</v>
      </c>
      <c r="AK31" s="25">
        <v>0.0</v>
      </c>
      <c r="AL31" s="26">
        <f t="shared" si="6"/>
        <v>0</v>
      </c>
      <c r="AM31" s="27">
        <f t="shared" si="7"/>
        <v>2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1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20">
        <f t="shared" si="3"/>
        <v>1</v>
      </c>
      <c r="U32" s="21">
        <v>0.0</v>
      </c>
      <c r="V32" s="21">
        <v>0.0</v>
      </c>
      <c r="W32" s="21">
        <v>0.0</v>
      </c>
      <c r="X32" s="21">
        <v>0.0</v>
      </c>
      <c r="Y32" s="21">
        <v>0.0</v>
      </c>
      <c r="Z32" s="22">
        <f t="shared" si="4"/>
        <v>0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0.0</v>
      </c>
      <c r="AH32" s="25">
        <v>0.0</v>
      </c>
      <c r="AI32" s="25">
        <v>0.0</v>
      </c>
      <c r="AJ32" s="25">
        <v>0.0</v>
      </c>
      <c r="AK32" s="25">
        <v>0.0</v>
      </c>
      <c r="AL32" s="26">
        <f t="shared" si="6"/>
        <v>0</v>
      </c>
      <c r="AM32" s="27">
        <f t="shared" si="7"/>
        <v>1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6">
        <f t="shared" ref="H3:H32" si="1">SUM(C3:G3)</f>
        <v>0</v>
      </c>
      <c r="I3" s="17">
        <v>0.0</v>
      </c>
      <c r="J3" s="17">
        <v>0.0</v>
      </c>
      <c r="K3" s="17">
        <v>0.0</v>
      </c>
      <c r="L3" s="17">
        <v>0.0</v>
      </c>
      <c r="M3" s="17">
        <v>0.0</v>
      </c>
      <c r="N3" s="18">
        <f t="shared" ref="N3:N32" si="2">SUM(I3:M3)</f>
        <v>0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1.0</v>
      </c>
      <c r="X3" s="21">
        <v>0.0</v>
      </c>
      <c r="Y3" s="21">
        <v>0.0</v>
      </c>
      <c r="Z3" s="22">
        <f t="shared" ref="Z3:Z32" si="4">SUM(U3:Y3)</f>
        <v>1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1.0</v>
      </c>
      <c r="AH3" s="25">
        <v>0.0</v>
      </c>
      <c r="AI3" s="25">
        <v>1.0</v>
      </c>
      <c r="AJ3" s="25">
        <v>1.0</v>
      </c>
      <c r="AK3" s="25">
        <v>0.0</v>
      </c>
      <c r="AL3" s="26">
        <f t="shared" ref="AL3:AL32" si="6">SUM(AG3:AK3)</f>
        <v>3</v>
      </c>
      <c r="AM3" s="27">
        <f t="shared" ref="AM3:AM32" si="7">H3+N3+T3+Z3+AF3+AL3</f>
        <v>4</v>
      </c>
      <c r="AN3" s="28" t="str">
        <f t="shared" ref="AN3:AN32" si="8">IF(AM3=0,"Conforme",IF(AM3&lt;=12,"Atenção","Crítico"))</f>
        <v>Atenção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1.0</v>
      </c>
      <c r="AH4" s="25">
        <v>0.0</v>
      </c>
      <c r="AI4" s="25">
        <v>1.0</v>
      </c>
      <c r="AJ4" s="25">
        <v>1.0</v>
      </c>
      <c r="AK4" s="25">
        <v>1.0</v>
      </c>
      <c r="AL4" s="26">
        <f t="shared" si="6"/>
        <v>4</v>
      </c>
      <c r="AM4" s="27">
        <f t="shared" si="7"/>
        <v>5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5">
        <v>0.0</v>
      </c>
      <c r="F5" s="15">
        <v>0.0</v>
      </c>
      <c r="G5" s="15">
        <v>0.0</v>
      </c>
      <c r="H5" s="16">
        <f t="shared" si="1"/>
        <v>0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1.0</v>
      </c>
      <c r="T5" s="20">
        <f t="shared" si="3"/>
        <v>1</v>
      </c>
      <c r="U5" s="21">
        <v>0.0</v>
      </c>
      <c r="V5" s="21">
        <v>0.0</v>
      </c>
      <c r="W5" s="21">
        <v>1.0</v>
      </c>
      <c r="X5" s="21">
        <v>0.0</v>
      </c>
      <c r="Y5" s="21">
        <v>0.0</v>
      </c>
      <c r="Z5" s="22">
        <f t="shared" si="4"/>
        <v>1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1.0</v>
      </c>
      <c r="AH5" s="25">
        <v>1.0</v>
      </c>
      <c r="AI5" s="25">
        <v>1.0</v>
      </c>
      <c r="AJ5" s="25">
        <v>1.0</v>
      </c>
      <c r="AK5" s="25">
        <v>0.0</v>
      </c>
      <c r="AL5" s="26">
        <f t="shared" si="6"/>
        <v>4</v>
      </c>
      <c r="AM5" s="27">
        <f t="shared" si="7"/>
        <v>6</v>
      </c>
      <c r="AN5" s="28" t="str">
        <f t="shared" si="8"/>
        <v>Atenção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20">
        <f t="shared" si="3"/>
        <v>1</v>
      </c>
      <c r="U6" s="21">
        <v>1.0</v>
      </c>
      <c r="V6" s="21">
        <v>0.0</v>
      </c>
      <c r="W6" s="21">
        <v>0.0</v>
      </c>
      <c r="X6" s="21">
        <v>0.0</v>
      </c>
      <c r="Y6" s="21">
        <v>0.0</v>
      </c>
      <c r="Z6" s="22">
        <f t="shared" si="4"/>
        <v>1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1.0</v>
      </c>
      <c r="AH6" s="25">
        <v>0.0</v>
      </c>
      <c r="AI6" s="25">
        <v>1.0</v>
      </c>
      <c r="AJ6" s="25">
        <v>1.0</v>
      </c>
      <c r="AK6" s="25">
        <v>1.0</v>
      </c>
      <c r="AL6" s="26">
        <f t="shared" si="6"/>
        <v>4</v>
      </c>
      <c r="AM6" s="27">
        <f t="shared" si="7"/>
        <v>6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1.0</v>
      </c>
      <c r="H7" s="16">
        <f t="shared" si="1"/>
        <v>1</v>
      </c>
      <c r="I7" s="17">
        <v>0.0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1</v>
      </c>
      <c r="O7" s="19">
        <v>0.0</v>
      </c>
      <c r="P7" s="19">
        <v>1.0</v>
      </c>
      <c r="Q7" s="19">
        <v>1.0</v>
      </c>
      <c r="R7" s="19">
        <v>0.0</v>
      </c>
      <c r="S7" s="19">
        <v>0.0</v>
      </c>
      <c r="T7" s="20">
        <f t="shared" si="3"/>
        <v>2</v>
      </c>
      <c r="U7" s="21">
        <v>0.0</v>
      </c>
      <c r="V7" s="21">
        <v>0.0</v>
      </c>
      <c r="W7" s="21">
        <v>1.0</v>
      </c>
      <c r="X7" s="21">
        <v>0.0</v>
      </c>
      <c r="Y7" s="21">
        <v>0.0</v>
      </c>
      <c r="Z7" s="22">
        <f t="shared" si="4"/>
        <v>1</v>
      </c>
      <c r="AA7" s="23">
        <v>1.0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1</v>
      </c>
      <c r="AG7" s="25">
        <v>1.0</v>
      </c>
      <c r="AH7" s="25">
        <v>1.0</v>
      </c>
      <c r="AI7" s="25">
        <v>1.0</v>
      </c>
      <c r="AJ7" s="25">
        <v>1.0</v>
      </c>
      <c r="AK7" s="25">
        <v>0.0</v>
      </c>
      <c r="AL7" s="26">
        <f t="shared" si="6"/>
        <v>4</v>
      </c>
      <c r="AM7" s="27">
        <f t="shared" si="7"/>
        <v>10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si="1"/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1.0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1</v>
      </c>
      <c r="U8" s="21">
        <v>1.0</v>
      </c>
      <c r="V8" s="21">
        <v>0.0</v>
      </c>
      <c r="W8" s="21">
        <v>1.0</v>
      </c>
      <c r="X8" s="21">
        <v>0.0</v>
      </c>
      <c r="Y8" s="21">
        <v>1.0</v>
      </c>
      <c r="Z8" s="22">
        <f t="shared" si="4"/>
        <v>3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1.0</v>
      </c>
      <c r="AH8" s="25">
        <v>1.0</v>
      </c>
      <c r="AI8" s="25">
        <v>1.0</v>
      </c>
      <c r="AJ8" s="25">
        <v>1.0</v>
      </c>
      <c r="AK8" s="25">
        <v>1.0</v>
      </c>
      <c r="AL8" s="26">
        <f t="shared" si="6"/>
        <v>5</v>
      </c>
      <c r="AM8" s="27">
        <f t="shared" si="7"/>
        <v>9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1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0.0</v>
      </c>
      <c r="P9" s="19">
        <v>1.0</v>
      </c>
      <c r="Q9" s="19">
        <v>0.0</v>
      </c>
      <c r="R9" s="19">
        <v>0.0</v>
      </c>
      <c r="S9" s="19">
        <v>0.0</v>
      </c>
      <c r="T9" s="20">
        <f t="shared" si="3"/>
        <v>1</v>
      </c>
      <c r="U9" s="21">
        <v>0.0</v>
      </c>
      <c r="V9" s="21">
        <v>0.0</v>
      </c>
      <c r="W9" s="21">
        <v>1.0</v>
      </c>
      <c r="X9" s="21">
        <v>0.0</v>
      </c>
      <c r="Y9" s="21">
        <v>0.0</v>
      </c>
      <c r="Z9" s="22">
        <f t="shared" si="4"/>
        <v>1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1.0</v>
      </c>
      <c r="AH9" s="25">
        <v>0.0</v>
      </c>
      <c r="AI9" s="25">
        <v>1.0</v>
      </c>
      <c r="AJ9" s="25">
        <v>1.0</v>
      </c>
      <c r="AK9" s="25">
        <v>1.0</v>
      </c>
      <c r="AL9" s="26">
        <f t="shared" si="6"/>
        <v>4</v>
      </c>
      <c r="AM9" s="27">
        <f t="shared" si="7"/>
        <v>7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1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1.0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1</v>
      </c>
      <c r="U10" s="21">
        <v>0.0</v>
      </c>
      <c r="V10" s="21">
        <v>0.0</v>
      </c>
      <c r="W10" s="21">
        <v>1.0</v>
      </c>
      <c r="X10" s="21">
        <v>0.0</v>
      </c>
      <c r="Y10" s="21">
        <v>0.0</v>
      </c>
      <c r="Z10" s="22">
        <f t="shared" si="4"/>
        <v>1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1.0</v>
      </c>
      <c r="AH10" s="25">
        <v>1.0</v>
      </c>
      <c r="AI10" s="25">
        <v>1.0</v>
      </c>
      <c r="AJ10" s="25">
        <v>1.0</v>
      </c>
      <c r="AK10" s="25">
        <v>0.0</v>
      </c>
      <c r="AL10" s="26">
        <f t="shared" si="6"/>
        <v>4</v>
      </c>
      <c r="AM10" s="27">
        <f t="shared" si="7"/>
        <v>6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5">
        <v>1.0</v>
      </c>
      <c r="F11" s="15">
        <v>0.0</v>
      </c>
      <c r="G11" s="15">
        <v>0.0</v>
      </c>
      <c r="H11" s="16">
        <f t="shared" si="1"/>
        <v>1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1.0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1</v>
      </c>
      <c r="U11" s="21">
        <v>0.0</v>
      </c>
      <c r="V11" s="21">
        <v>0.0</v>
      </c>
      <c r="W11" s="21">
        <v>0.0</v>
      </c>
      <c r="X11" s="21">
        <v>1.0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1.0</v>
      </c>
      <c r="AH11" s="25">
        <v>0.0</v>
      </c>
      <c r="AI11" s="25">
        <v>1.0</v>
      </c>
      <c r="AJ11" s="25">
        <v>1.0</v>
      </c>
      <c r="AK11" s="25">
        <v>1.0</v>
      </c>
      <c r="AL11" s="26">
        <f t="shared" si="6"/>
        <v>4</v>
      </c>
      <c r="AM11" s="27">
        <f t="shared" si="7"/>
        <v>7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1.0</v>
      </c>
      <c r="G12" s="15">
        <v>0.0</v>
      </c>
      <c r="H12" s="16">
        <f t="shared" si="1"/>
        <v>1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8">
        <f t="shared" si="2"/>
        <v>0</v>
      </c>
      <c r="O12" s="19">
        <v>0.0</v>
      </c>
      <c r="P12" s="19">
        <v>0.0</v>
      </c>
      <c r="Q12" s="19">
        <v>1.0</v>
      </c>
      <c r="R12" s="19">
        <v>0.0</v>
      </c>
      <c r="S12" s="19">
        <v>0.0</v>
      </c>
      <c r="T12" s="20">
        <f t="shared" si="3"/>
        <v>1</v>
      </c>
      <c r="U12" s="21">
        <v>1.0</v>
      </c>
      <c r="V12" s="21">
        <v>0.0</v>
      </c>
      <c r="W12" s="21">
        <v>1.0</v>
      </c>
      <c r="X12" s="21">
        <v>0.0</v>
      </c>
      <c r="Y12" s="21">
        <v>0.0</v>
      </c>
      <c r="Z12" s="22">
        <f t="shared" si="4"/>
        <v>2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1.0</v>
      </c>
      <c r="AH12" s="25">
        <v>0.0</v>
      </c>
      <c r="AI12" s="25">
        <v>1.0</v>
      </c>
      <c r="AJ12" s="25">
        <v>1.0</v>
      </c>
      <c r="AK12" s="25">
        <v>0.0</v>
      </c>
      <c r="AL12" s="26">
        <f t="shared" si="6"/>
        <v>3</v>
      </c>
      <c r="AM12" s="27">
        <f t="shared" si="7"/>
        <v>7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1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1.0</v>
      </c>
      <c r="R13" s="19">
        <v>0.0</v>
      </c>
      <c r="S13" s="19">
        <v>0.0</v>
      </c>
      <c r="T13" s="20">
        <f t="shared" si="3"/>
        <v>1</v>
      </c>
      <c r="U13" s="21">
        <v>0.0</v>
      </c>
      <c r="V13" s="21">
        <v>0.0</v>
      </c>
      <c r="W13" s="21">
        <v>1.0</v>
      </c>
      <c r="X13" s="21">
        <v>0.0</v>
      </c>
      <c r="Y13" s="21">
        <v>0.0</v>
      </c>
      <c r="Z13" s="22">
        <f t="shared" si="4"/>
        <v>1</v>
      </c>
      <c r="AA13" s="23">
        <v>1.0</v>
      </c>
      <c r="AB13" s="23">
        <v>0.0</v>
      </c>
      <c r="AC13" s="23">
        <v>0.0</v>
      </c>
      <c r="AD13" s="23">
        <v>0.0</v>
      </c>
      <c r="AE13" s="23">
        <v>0.0</v>
      </c>
      <c r="AF13" s="24">
        <f t="shared" si="5"/>
        <v>1</v>
      </c>
      <c r="AG13" s="25">
        <v>1.0</v>
      </c>
      <c r="AH13" s="25">
        <v>1.0</v>
      </c>
      <c r="AI13" s="25">
        <v>0.0</v>
      </c>
      <c r="AJ13" s="25">
        <v>1.0</v>
      </c>
      <c r="AK13" s="25">
        <v>1.0</v>
      </c>
      <c r="AL13" s="26">
        <f t="shared" si="6"/>
        <v>4</v>
      </c>
      <c r="AM13" s="27">
        <f t="shared" si="7"/>
        <v>7</v>
      </c>
      <c r="AN13" s="28" t="str">
        <f t="shared" si="8"/>
        <v>Atenção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1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1.0</v>
      </c>
      <c r="X14" s="21">
        <v>0.0</v>
      </c>
      <c r="Y14" s="21">
        <v>0.0</v>
      </c>
      <c r="Z14" s="22">
        <f t="shared" si="4"/>
        <v>1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1.0</v>
      </c>
      <c r="AH14" s="25">
        <v>0.0</v>
      </c>
      <c r="AI14" s="25">
        <v>1.0</v>
      </c>
      <c r="AJ14" s="25">
        <v>1.0</v>
      </c>
      <c r="AK14" s="25">
        <v>0.0</v>
      </c>
      <c r="AL14" s="26">
        <f t="shared" si="6"/>
        <v>3</v>
      </c>
      <c r="AM14" s="27">
        <f t="shared" si="7"/>
        <v>4</v>
      </c>
      <c r="AN14" s="28" t="str">
        <f t="shared" si="8"/>
        <v>Atenção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1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1.0</v>
      </c>
      <c r="X15" s="21">
        <v>0.0</v>
      </c>
      <c r="Y15" s="21">
        <v>0.0</v>
      </c>
      <c r="Z15" s="22">
        <f t="shared" si="4"/>
        <v>1</v>
      </c>
      <c r="AA15" s="23">
        <v>1.0</v>
      </c>
      <c r="AB15" s="23">
        <v>0.0</v>
      </c>
      <c r="AC15" s="23">
        <v>0.0</v>
      </c>
      <c r="AD15" s="23">
        <v>0.0</v>
      </c>
      <c r="AE15" s="23">
        <v>0.0</v>
      </c>
      <c r="AF15" s="24">
        <f t="shared" si="5"/>
        <v>1</v>
      </c>
      <c r="AG15" s="25">
        <v>1.0</v>
      </c>
      <c r="AH15" s="25">
        <v>1.0</v>
      </c>
      <c r="AI15" s="25">
        <v>0.0</v>
      </c>
      <c r="AJ15" s="25">
        <v>1.0</v>
      </c>
      <c r="AK15" s="25">
        <v>1.0</v>
      </c>
      <c r="AL15" s="26">
        <f t="shared" si="6"/>
        <v>4</v>
      </c>
      <c r="AM15" s="27">
        <f t="shared" si="7"/>
        <v>6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1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1.0</v>
      </c>
      <c r="X16" s="21">
        <v>0.0</v>
      </c>
      <c r="Y16" s="21">
        <v>0.0</v>
      </c>
      <c r="Z16" s="22">
        <f t="shared" si="4"/>
        <v>1</v>
      </c>
      <c r="AA16" s="23">
        <v>1.0</v>
      </c>
      <c r="AB16" s="23">
        <v>1.0</v>
      </c>
      <c r="AC16" s="23">
        <v>0.0</v>
      </c>
      <c r="AD16" s="23">
        <v>0.0</v>
      </c>
      <c r="AE16" s="23">
        <v>0.0</v>
      </c>
      <c r="AF16" s="24">
        <f t="shared" si="5"/>
        <v>2</v>
      </c>
      <c r="AG16" s="25">
        <v>1.0</v>
      </c>
      <c r="AH16" s="25">
        <v>0.0</v>
      </c>
      <c r="AI16" s="25">
        <v>1.0</v>
      </c>
      <c r="AJ16" s="25">
        <v>1.0</v>
      </c>
      <c r="AK16" s="25">
        <v>1.0</v>
      </c>
      <c r="AL16" s="26">
        <f t="shared" si="6"/>
        <v>4</v>
      </c>
      <c r="AM16" s="27">
        <f t="shared" si="7"/>
        <v>7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1"/>
        <v>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8">
        <f t="shared" si="2"/>
        <v>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0.0</v>
      </c>
      <c r="V17" s="21">
        <v>0.0</v>
      </c>
      <c r="W17" s="21">
        <v>1.0</v>
      </c>
      <c r="X17" s="21">
        <v>0.0</v>
      </c>
      <c r="Y17" s="21">
        <v>0.0</v>
      </c>
      <c r="Z17" s="22">
        <f t="shared" si="4"/>
        <v>1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1.0</v>
      </c>
      <c r="AH17" s="25">
        <v>0.0</v>
      </c>
      <c r="AI17" s="25">
        <v>1.0</v>
      </c>
      <c r="AJ17" s="25">
        <v>1.0</v>
      </c>
      <c r="AK17" s="25">
        <v>1.0</v>
      </c>
      <c r="AL17" s="26">
        <f t="shared" si="6"/>
        <v>4</v>
      </c>
      <c r="AM17" s="27">
        <f t="shared" si="7"/>
        <v>5</v>
      </c>
      <c r="AN17" s="28" t="str">
        <f t="shared" si="8"/>
        <v>Atenção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1"/>
        <v>0</v>
      </c>
      <c r="I18" s="17">
        <v>0.0</v>
      </c>
      <c r="J18" s="17">
        <v>0.0</v>
      </c>
      <c r="K18" s="17">
        <v>1.0</v>
      </c>
      <c r="L18" s="17">
        <v>0.0</v>
      </c>
      <c r="M18" s="17">
        <v>0.0</v>
      </c>
      <c r="N18" s="18">
        <f t="shared" si="2"/>
        <v>1</v>
      </c>
      <c r="O18" s="19">
        <v>0.0</v>
      </c>
      <c r="P18" s="19">
        <v>1.0</v>
      </c>
      <c r="Q18" s="19">
        <v>0.0</v>
      </c>
      <c r="R18" s="19">
        <v>0.0</v>
      </c>
      <c r="S18" s="19">
        <v>0.0</v>
      </c>
      <c r="T18" s="20">
        <f t="shared" si="3"/>
        <v>1</v>
      </c>
      <c r="U18" s="21">
        <v>0.0</v>
      </c>
      <c r="V18" s="21">
        <v>0.0</v>
      </c>
      <c r="W18" s="21">
        <v>0.0</v>
      </c>
      <c r="X18" s="21">
        <v>0.0</v>
      </c>
      <c r="Y18" s="21">
        <v>0.0</v>
      </c>
      <c r="Z18" s="22">
        <f t="shared" si="4"/>
        <v>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1.0</v>
      </c>
      <c r="AH18" s="25">
        <v>0.0</v>
      </c>
      <c r="AI18" s="25">
        <v>1.0</v>
      </c>
      <c r="AJ18" s="25">
        <v>1.0</v>
      </c>
      <c r="AK18" s="25">
        <v>1.0</v>
      </c>
      <c r="AL18" s="26">
        <f t="shared" si="6"/>
        <v>4</v>
      </c>
      <c r="AM18" s="27">
        <f t="shared" si="7"/>
        <v>6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1"/>
        <v>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8">
        <f t="shared" si="2"/>
        <v>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0.0</v>
      </c>
      <c r="V19" s="21">
        <v>0.0</v>
      </c>
      <c r="W19" s="21">
        <v>1.0</v>
      </c>
      <c r="X19" s="21">
        <v>0.0</v>
      </c>
      <c r="Y19" s="21">
        <v>0.0</v>
      </c>
      <c r="Z19" s="22">
        <f t="shared" si="4"/>
        <v>1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4">
        <f t="shared" si="5"/>
        <v>0</v>
      </c>
      <c r="AG19" s="25">
        <v>1.0</v>
      </c>
      <c r="AH19" s="25">
        <v>0.0</v>
      </c>
      <c r="AI19" s="25">
        <v>1.0</v>
      </c>
      <c r="AJ19" s="25">
        <v>1.0</v>
      </c>
      <c r="AK19" s="25">
        <v>1.0</v>
      </c>
      <c r="AL19" s="26">
        <f t="shared" si="6"/>
        <v>4</v>
      </c>
      <c r="AM19" s="27">
        <f t="shared" si="7"/>
        <v>5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5">
        <v>0.0</v>
      </c>
      <c r="E20" s="15">
        <v>0.0</v>
      </c>
      <c r="F20" s="15">
        <v>0.0</v>
      </c>
      <c r="G20" s="15">
        <v>0.0</v>
      </c>
      <c r="H20" s="16">
        <f t="shared" si="1"/>
        <v>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1.0</v>
      </c>
      <c r="P20" s="19">
        <v>0.0</v>
      </c>
      <c r="Q20" s="19">
        <v>0.0</v>
      </c>
      <c r="R20" s="19">
        <v>0.0</v>
      </c>
      <c r="S20" s="19">
        <v>0.0</v>
      </c>
      <c r="T20" s="20">
        <f t="shared" si="3"/>
        <v>1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1.0</v>
      </c>
      <c r="AH20" s="25">
        <v>0.0</v>
      </c>
      <c r="AI20" s="25">
        <v>1.0</v>
      </c>
      <c r="AJ20" s="25">
        <v>1.0</v>
      </c>
      <c r="AK20" s="25">
        <v>1.0</v>
      </c>
      <c r="AL20" s="26">
        <f t="shared" si="6"/>
        <v>4</v>
      </c>
      <c r="AM20" s="27">
        <f t="shared" si="7"/>
        <v>5</v>
      </c>
      <c r="AN20" s="28" t="str">
        <f t="shared" si="8"/>
        <v>Atenção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1"/>
        <v>0</v>
      </c>
      <c r="I21" s="17">
        <v>0.0</v>
      </c>
      <c r="J21" s="17">
        <v>0.0</v>
      </c>
      <c r="K21" s="17">
        <v>1.0</v>
      </c>
      <c r="L21" s="17">
        <v>0.0</v>
      </c>
      <c r="M21" s="17">
        <v>1.0</v>
      </c>
      <c r="N21" s="18">
        <f t="shared" si="2"/>
        <v>2</v>
      </c>
      <c r="O21" s="19">
        <v>1.0</v>
      </c>
      <c r="P21" s="19">
        <v>1.0</v>
      </c>
      <c r="Q21" s="19">
        <v>0.0</v>
      </c>
      <c r="R21" s="19">
        <v>0.0</v>
      </c>
      <c r="S21" s="19">
        <v>0.0</v>
      </c>
      <c r="T21" s="20">
        <f t="shared" si="3"/>
        <v>2</v>
      </c>
      <c r="U21" s="21">
        <v>0.0</v>
      </c>
      <c r="V21" s="21">
        <v>0.0</v>
      </c>
      <c r="W21" s="21">
        <v>0.0</v>
      </c>
      <c r="X21" s="21">
        <v>0.0</v>
      </c>
      <c r="Y21" s="21">
        <v>0.0</v>
      </c>
      <c r="Z21" s="22">
        <f t="shared" si="4"/>
        <v>0</v>
      </c>
      <c r="AA21" s="23">
        <v>1.0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1</v>
      </c>
      <c r="AG21" s="25">
        <v>1.0</v>
      </c>
      <c r="AH21" s="25">
        <v>1.0</v>
      </c>
      <c r="AI21" s="25">
        <v>0.0</v>
      </c>
      <c r="AJ21" s="25">
        <v>0.0</v>
      </c>
      <c r="AK21" s="25">
        <v>0.0</v>
      </c>
      <c r="AL21" s="26">
        <f t="shared" si="6"/>
        <v>2</v>
      </c>
      <c r="AM21" s="27">
        <f t="shared" si="7"/>
        <v>7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1"/>
        <v>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8">
        <f t="shared" si="2"/>
        <v>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20">
        <f t="shared" si="3"/>
        <v>1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1.0</v>
      </c>
      <c r="AH22" s="25">
        <v>0.0</v>
      </c>
      <c r="AI22" s="25">
        <v>0.0</v>
      </c>
      <c r="AJ22" s="25">
        <v>0.0</v>
      </c>
      <c r="AK22" s="25">
        <v>0.0</v>
      </c>
      <c r="AL22" s="26">
        <f t="shared" si="6"/>
        <v>1</v>
      </c>
      <c r="AM22" s="27">
        <f t="shared" si="7"/>
        <v>2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1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0</v>
      </c>
      <c r="AG23" s="25">
        <v>1.0</v>
      </c>
      <c r="AH23" s="25">
        <v>0.0</v>
      </c>
      <c r="AI23" s="25">
        <v>1.0</v>
      </c>
      <c r="AJ23" s="25">
        <v>1.0</v>
      </c>
      <c r="AK23" s="25">
        <v>1.0</v>
      </c>
      <c r="AL23" s="26">
        <f t="shared" si="6"/>
        <v>4</v>
      </c>
      <c r="AM23" s="27">
        <f t="shared" si="7"/>
        <v>4</v>
      </c>
      <c r="AN23" s="28" t="str">
        <f t="shared" si="8"/>
        <v>Atenção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1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1.0</v>
      </c>
      <c r="AH24" s="25">
        <v>0.0</v>
      </c>
      <c r="AI24" s="25">
        <v>1.0</v>
      </c>
      <c r="AJ24" s="25">
        <v>1.0</v>
      </c>
      <c r="AK24" s="25">
        <v>1.0</v>
      </c>
      <c r="AL24" s="26">
        <f t="shared" si="6"/>
        <v>4</v>
      </c>
      <c r="AM24" s="27">
        <f t="shared" si="7"/>
        <v>4</v>
      </c>
      <c r="AN24" s="28" t="str">
        <f t="shared" si="8"/>
        <v>Atenção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1"/>
        <v>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8">
        <f t="shared" si="2"/>
        <v>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1.0</v>
      </c>
      <c r="AH25" s="25">
        <v>0.0</v>
      </c>
      <c r="AI25" s="25">
        <v>1.0</v>
      </c>
      <c r="AJ25" s="25">
        <v>1.0</v>
      </c>
      <c r="AK25" s="25">
        <v>0.0</v>
      </c>
      <c r="AL25" s="26">
        <f t="shared" si="6"/>
        <v>3</v>
      </c>
      <c r="AM25" s="27">
        <f t="shared" si="7"/>
        <v>3</v>
      </c>
      <c r="AN25" s="28" t="str">
        <f t="shared" si="8"/>
        <v>Atenção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1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1.0</v>
      </c>
      <c r="AH26" s="25">
        <v>0.0</v>
      </c>
      <c r="AI26" s="25">
        <v>1.0</v>
      </c>
      <c r="AJ26" s="25">
        <v>1.0</v>
      </c>
      <c r="AK26" s="25">
        <v>0.0</v>
      </c>
      <c r="AL26" s="26">
        <f t="shared" si="6"/>
        <v>3</v>
      </c>
      <c r="AM26" s="27">
        <f t="shared" si="7"/>
        <v>3</v>
      </c>
      <c r="AN26" s="28" t="str">
        <f t="shared" si="8"/>
        <v>Atenção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1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8">
        <f t="shared" si="2"/>
        <v>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1.0</v>
      </c>
      <c r="AH27" s="25">
        <v>0.0</v>
      </c>
      <c r="AI27" s="25">
        <v>1.0</v>
      </c>
      <c r="AJ27" s="25">
        <v>1.0</v>
      </c>
      <c r="AK27" s="25">
        <v>1.0</v>
      </c>
      <c r="AL27" s="26">
        <f t="shared" si="6"/>
        <v>4</v>
      </c>
      <c r="AM27" s="27">
        <f t="shared" si="7"/>
        <v>4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1"/>
        <v>0</v>
      </c>
      <c r="I28" s="17">
        <v>0.0</v>
      </c>
      <c r="J28" s="17">
        <v>0.0</v>
      </c>
      <c r="K28" s="17">
        <v>1.0</v>
      </c>
      <c r="L28" s="17">
        <v>0.0</v>
      </c>
      <c r="M28" s="17">
        <v>0.0</v>
      </c>
      <c r="N28" s="18">
        <f t="shared" si="2"/>
        <v>1</v>
      </c>
      <c r="O28" s="19">
        <v>0.0</v>
      </c>
      <c r="P28" s="19">
        <v>1.0</v>
      </c>
      <c r="Q28" s="19">
        <v>0.0</v>
      </c>
      <c r="R28" s="19">
        <v>0.0</v>
      </c>
      <c r="S28" s="19">
        <v>0.0</v>
      </c>
      <c r="T28" s="20">
        <f t="shared" si="3"/>
        <v>1</v>
      </c>
      <c r="U28" s="21">
        <v>0.0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1.0</v>
      </c>
      <c r="AH28" s="25">
        <v>0.0</v>
      </c>
      <c r="AI28" s="25">
        <v>1.0</v>
      </c>
      <c r="AJ28" s="25">
        <v>1.0</v>
      </c>
      <c r="AK28" s="25">
        <v>0.0</v>
      </c>
      <c r="AL28" s="26">
        <f t="shared" si="6"/>
        <v>3</v>
      </c>
      <c r="AM28" s="27">
        <f t="shared" si="7"/>
        <v>5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6">
        <f t="shared" si="1"/>
        <v>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8">
        <f t="shared" si="2"/>
        <v>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1.0</v>
      </c>
      <c r="X29" s="21">
        <v>0.0</v>
      </c>
      <c r="Y29" s="21">
        <v>0.0</v>
      </c>
      <c r="Z29" s="22">
        <f t="shared" si="4"/>
        <v>1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1.0</v>
      </c>
      <c r="AH29" s="25">
        <v>1.0</v>
      </c>
      <c r="AI29" s="25">
        <v>1.0</v>
      </c>
      <c r="AJ29" s="25">
        <v>0.0</v>
      </c>
      <c r="AK29" s="25">
        <v>1.0</v>
      </c>
      <c r="AL29" s="26">
        <f t="shared" si="6"/>
        <v>4</v>
      </c>
      <c r="AM29" s="27">
        <f t="shared" si="7"/>
        <v>5</v>
      </c>
      <c r="AN29" s="28" t="str">
        <f t="shared" si="8"/>
        <v>Atenção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1"/>
        <v>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8">
        <f t="shared" si="2"/>
        <v>0</v>
      </c>
      <c r="O30" s="19">
        <v>0.0</v>
      </c>
      <c r="P30" s="19">
        <v>0.0</v>
      </c>
      <c r="Q30" s="19">
        <v>1.0</v>
      </c>
      <c r="R30" s="19">
        <v>0.0</v>
      </c>
      <c r="S30" s="19">
        <v>0.0</v>
      </c>
      <c r="T30" s="20">
        <f t="shared" si="3"/>
        <v>1</v>
      </c>
      <c r="U30" s="21">
        <v>1.0</v>
      </c>
      <c r="V30" s="21">
        <v>1.0</v>
      </c>
      <c r="W30" s="21">
        <v>0.0</v>
      </c>
      <c r="X30" s="21">
        <v>0.0</v>
      </c>
      <c r="Y30" s="21">
        <v>0.0</v>
      </c>
      <c r="Z30" s="22">
        <f t="shared" si="4"/>
        <v>2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1.0</v>
      </c>
      <c r="AH30" s="25">
        <v>1.0</v>
      </c>
      <c r="AI30" s="25">
        <v>0.0</v>
      </c>
      <c r="AJ30" s="25">
        <v>0.0</v>
      </c>
      <c r="AK30" s="25">
        <v>0.0</v>
      </c>
      <c r="AL30" s="26">
        <f t="shared" si="6"/>
        <v>2</v>
      </c>
      <c r="AM30" s="27">
        <f t="shared" si="7"/>
        <v>5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1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19">
        <v>0.0</v>
      </c>
      <c r="P31" s="19">
        <v>1.0</v>
      </c>
      <c r="Q31" s="19">
        <v>0.0</v>
      </c>
      <c r="R31" s="19">
        <v>0.0</v>
      </c>
      <c r="S31" s="19">
        <v>0.0</v>
      </c>
      <c r="T31" s="20">
        <f t="shared" si="3"/>
        <v>1</v>
      </c>
      <c r="U31" s="21">
        <v>1.0</v>
      </c>
      <c r="V31" s="21">
        <v>0.0</v>
      </c>
      <c r="W31" s="21">
        <v>0.0</v>
      </c>
      <c r="X31" s="21">
        <v>0.0</v>
      </c>
      <c r="Y31" s="21">
        <v>0.0</v>
      </c>
      <c r="Z31" s="22">
        <f t="shared" si="4"/>
        <v>1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1.0</v>
      </c>
      <c r="AH31" s="25">
        <v>1.0</v>
      </c>
      <c r="AI31" s="25">
        <v>0.0</v>
      </c>
      <c r="AJ31" s="25">
        <v>0.0</v>
      </c>
      <c r="AK31" s="25">
        <v>1.0</v>
      </c>
      <c r="AL31" s="26">
        <f t="shared" si="6"/>
        <v>3</v>
      </c>
      <c r="AM31" s="27">
        <f t="shared" si="7"/>
        <v>6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1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20">
        <f t="shared" si="3"/>
        <v>1</v>
      </c>
      <c r="U32" s="21">
        <v>1.0</v>
      </c>
      <c r="V32" s="21">
        <v>0.0</v>
      </c>
      <c r="W32" s="21">
        <v>1.0</v>
      </c>
      <c r="X32" s="21">
        <v>0.0</v>
      </c>
      <c r="Y32" s="21">
        <v>0.0</v>
      </c>
      <c r="Z32" s="22">
        <f t="shared" si="4"/>
        <v>2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1.0</v>
      </c>
      <c r="AH32" s="25">
        <v>0.0</v>
      </c>
      <c r="AI32" s="25">
        <v>1.0</v>
      </c>
      <c r="AJ32" s="25">
        <v>1.0</v>
      </c>
      <c r="AK32" s="25">
        <v>1.0</v>
      </c>
      <c r="AL32" s="26">
        <f t="shared" si="6"/>
        <v>4</v>
      </c>
      <c r="AM32" s="27">
        <f t="shared" si="7"/>
        <v>7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6">
        <f t="shared" ref="H3:H32" si="1">SUM(C3:G3)</f>
        <v>0</v>
      </c>
      <c r="I3" s="17">
        <v>0.0</v>
      </c>
      <c r="J3" s="17">
        <v>1.0</v>
      </c>
      <c r="K3" s="17">
        <v>0.0</v>
      </c>
      <c r="L3" s="17">
        <v>0.0</v>
      </c>
      <c r="M3" s="17">
        <v>1.0</v>
      </c>
      <c r="N3" s="18">
        <f t="shared" ref="N3:N32" si="2">SUM(I3:M3)</f>
        <v>2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2">
        <f t="shared" ref="Z3:Z32" si="4">SUM(U3:Y3)</f>
        <v>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1.0</v>
      </c>
      <c r="AH3" s="25">
        <v>1.0</v>
      </c>
      <c r="AI3" s="25">
        <v>1.0</v>
      </c>
      <c r="AJ3" s="25">
        <v>0.0</v>
      </c>
      <c r="AK3" s="25">
        <v>0.0</v>
      </c>
      <c r="AL3" s="26">
        <f t="shared" ref="AL3:AL32" si="6">SUM(AG3:AK3)</f>
        <v>3</v>
      </c>
      <c r="AM3" s="27">
        <f t="shared" ref="AM3:AM32" si="7">H3+N3+T3+Z3+AF3+AL3</f>
        <v>5</v>
      </c>
      <c r="AN3" s="28" t="str">
        <f t="shared" ref="AN3:AN32" si="8">IF(AM3=0,"Conforme",IF(AM3&lt;=12,"Atenção","Crítico"))</f>
        <v>Atenção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0.0</v>
      </c>
      <c r="AH4" s="25">
        <v>0.0</v>
      </c>
      <c r="AI4" s="25">
        <v>0.0</v>
      </c>
      <c r="AJ4" s="25">
        <v>0.0</v>
      </c>
      <c r="AK4" s="25">
        <v>0.0</v>
      </c>
      <c r="AL4" s="26">
        <f t="shared" si="6"/>
        <v>0</v>
      </c>
      <c r="AM4" s="27">
        <f t="shared" si="7"/>
        <v>1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5">
        <v>0.0</v>
      </c>
      <c r="F5" s="15">
        <v>0.0</v>
      </c>
      <c r="G5" s="15">
        <v>0.0</v>
      </c>
      <c r="H5" s="16">
        <f t="shared" si="1"/>
        <v>0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20">
        <f t="shared" si="3"/>
        <v>0</v>
      </c>
      <c r="U5" s="21">
        <v>0.0</v>
      </c>
      <c r="V5" s="21">
        <v>0.0</v>
      </c>
      <c r="W5" s="21">
        <v>1.0</v>
      </c>
      <c r="X5" s="21">
        <v>0.0</v>
      </c>
      <c r="Y5" s="21">
        <v>0.0</v>
      </c>
      <c r="Z5" s="22">
        <f t="shared" si="4"/>
        <v>1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6">
        <f t="shared" si="6"/>
        <v>0</v>
      </c>
      <c r="AM5" s="27">
        <f t="shared" si="7"/>
        <v>1</v>
      </c>
      <c r="AN5" s="28" t="str">
        <f t="shared" si="8"/>
        <v>Atenção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20">
        <f t="shared" si="3"/>
        <v>1</v>
      </c>
      <c r="U6" s="21">
        <v>0.0</v>
      </c>
      <c r="V6" s="21">
        <v>0.0</v>
      </c>
      <c r="W6" s="21">
        <v>0.0</v>
      </c>
      <c r="X6" s="21">
        <v>0.0</v>
      </c>
      <c r="Y6" s="21">
        <v>0.0</v>
      </c>
      <c r="Z6" s="22">
        <f t="shared" si="4"/>
        <v>0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0.0</v>
      </c>
      <c r="AH6" s="25">
        <v>0.0</v>
      </c>
      <c r="AI6" s="25">
        <v>1.0</v>
      </c>
      <c r="AJ6" s="25">
        <v>0.0</v>
      </c>
      <c r="AK6" s="25">
        <v>0.0</v>
      </c>
      <c r="AL6" s="26">
        <f t="shared" si="6"/>
        <v>1</v>
      </c>
      <c r="AM6" s="27">
        <f t="shared" si="7"/>
        <v>2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1.0</v>
      </c>
      <c r="H7" s="16">
        <f t="shared" si="1"/>
        <v>1</v>
      </c>
      <c r="I7" s="17">
        <v>0.0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1</v>
      </c>
      <c r="O7" s="19">
        <v>0.0</v>
      </c>
      <c r="P7" s="19">
        <v>0.0</v>
      </c>
      <c r="Q7" s="19">
        <v>0.0</v>
      </c>
      <c r="R7" s="19">
        <v>0.0</v>
      </c>
      <c r="S7" s="19">
        <v>0.0</v>
      </c>
      <c r="T7" s="20">
        <f t="shared" si="3"/>
        <v>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2">
        <f t="shared" si="4"/>
        <v>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0</v>
      </c>
      <c r="AG7" s="25">
        <v>0.0</v>
      </c>
      <c r="AH7" s="25">
        <v>0.0</v>
      </c>
      <c r="AI7" s="25">
        <v>0.0</v>
      </c>
      <c r="AJ7" s="25">
        <v>0.0</v>
      </c>
      <c r="AK7" s="25">
        <v>0.0</v>
      </c>
      <c r="AL7" s="26">
        <f t="shared" si="6"/>
        <v>0</v>
      </c>
      <c r="AM7" s="27">
        <f t="shared" si="7"/>
        <v>2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si="1"/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0.0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0</v>
      </c>
      <c r="U8" s="21">
        <v>1.0</v>
      </c>
      <c r="V8" s="21">
        <v>0.0</v>
      </c>
      <c r="W8" s="21">
        <v>0.0</v>
      </c>
      <c r="X8" s="21">
        <v>0.0</v>
      </c>
      <c r="Y8" s="21">
        <v>1.0</v>
      </c>
      <c r="Z8" s="22">
        <f t="shared" si="4"/>
        <v>2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0.0</v>
      </c>
      <c r="AH8" s="25">
        <v>1.0</v>
      </c>
      <c r="AI8" s="25">
        <v>0.0</v>
      </c>
      <c r="AJ8" s="25">
        <v>0.0</v>
      </c>
      <c r="AK8" s="25">
        <v>0.0</v>
      </c>
      <c r="AL8" s="26">
        <f t="shared" si="6"/>
        <v>1</v>
      </c>
      <c r="AM8" s="27">
        <f t="shared" si="7"/>
        <v>3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1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0.0</v>
      </c>
      <c r="P9" s="19">
        <v>0.0</v>
      </c>
      <c r="Q9" s="19">
        <v>0.0</v>
      </c>
      <c r="R9" s="19">
        <v>0.0</v>
      </c>
      <c r="S9" s="19">
        <v>0.0</v>
      </c>
      <c r="T9" s="20">
        <f t="shared" si="3"/>
        <v>0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2">
        <f t="shared" si="4"/>
        <v>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0.0</v>
      </c>
      <c r="AH9" s="25">
        <v>0.0</v>
      </c>
      <c r="AI9" s="25">
        <v>0.0</v>
      </c>
      <c r="AJ9" s="25">
        <v>0.0</v>
      </c>
      <c r="AK9" s="25">
        <v>0.0</v>
      </c>
      <c r="AL9" s="26">
        <f t="shared" si="6"/>
        <v>0</v>
      </c>
      <c r="AM9" s="27">
        <f t="shared" si="7"/>
        <v>1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1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0</v>
      </c>
      <c r="U10" s="21">
        <v>0.0</v>
      </c>
      <c r="V10" s="21">
        <v>0.0</v>
      </c>
      <c r="W10" s="21">
        <v>1.0</v>
      </c>
      <c r="X10" s="21">
        <v>0.0</v>
      </c>
      <c r="Y10" s="21">
        <v>0.0</v>
      </c>
      <c r="Z10" s="22">
        <f t="shared" si="4"/>
        <v>1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0.0</v>
      </c>
      <c r="AH10" s="25">
        <v>0.0</v>
      </c>
      <c r="AI10" s="25">
        <v>0.0</v>
      </c>
      <c r="AJ10" s="25">
        <v>0.0</v>
      </c>
      <c r="AK10" s="25">
        <v>0.0</v>
      </c>
      <c r="AL10" s="26">
        <f t="shared" si="6"/>
        <v>0</v>
      </c>
      <c r="AM10" s="27">
        <f t="shared" si="7"/>
        <v>1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5">
        <v>1.0</v>
      </c>
      <c r="F11" s="15">
        <v>0.0</v>
      </c>
      <c r="G11" s="15">
        <v>0.0</v>
      </c>
      <c r="H11" s="16">
        <f t="shared" si="1"/>
        <v>1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0.0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0</v>
      </c>
      <c r="U11" s="21">
        <v>0.0</v>
      </c>
      <c r="V11" s="21">
        <v>0.0</v>
      </c>
      <c r="W11" s="21">
        <v>0.0</v>
      </c>
      <c r="X11" s="21">
        <v>1.0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  <c r="AL11" s="26">
        <f t="shared" si="6"/>
        <v>0</v>
      </c>
      <c r="AM11" s="27">
        <f t="shared" si="7"/>
        <v>2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1.0</v>
      </c>
      <c r="G12" s="15">
        <v>0.0</v>
      </c>
      <c r="H12" s="16">
        <f t="shared" si="1"/>
        <v>1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8">
        <f t="shared" si="2"/>
        <v>0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20">
        <f t="shared" si="3"/>
        <v>0</v>
      </c>
      <c r="U12" s="21">
        <v>0.0</v>
      </c>
      <c r="V12" s="21">
        <v>0.0</v>
      </c>
      <c r="W12" s="21">
        <v>0.0</v>
      </c>
      <c r="X12" s="21">
        <v>0.0</v>
      </c>
      <c r="Y12" s="21">
        <v>0.0</v>
      </c>
      <c r="Z12" s="22">
        <f t="shared" si="4"/>
        <v>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0.0</v>
      </c>
      <c r="AH12" s="25">
        <v>0.0</v>
      </c>
      <c r="AI12" s="25">
        <v>1.0</v>
      </c>
      <c r="AJ12" s="25">
        <v>0.0</v>
      </c>
      <c r="AK12" s="25">
        <v>0.0</v>
      </c>
      <c r="AL12" s="26">
        <f t="shared" si="6"/>
        <v>1</v>
      </c>
      <c r="AM12" s="27">
        <f t="shared" si="7"/>
        <v>2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1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20">
        <f t="shared" si="3"/>
        <v>0</v>
      </c>
      <c r="U13" s="21">
        <v>0.0</v>
      </c>
      <c r="V13" s="21">
        <v>0.0</v>
      </c>
      <c r="W13" s="21">
        <v>0.0</v>
      </c>
      <c r="X13" s="21">
        <v>0.0</v>
      </c>
      <c r="Y13" s="21">
        <v>0.0</v>
      </c>
      <c r="Z13" s="22">
        <f t="shared" si="4"/>
        <v>0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4">
        <f t="shared" si="5"/>
        <v>0</v>
      </c>
      <c r="AG13" s="25">
        <v>0.0</v>
      </c>
      <c r="AH13" s="25">
        <v>0.0</v>
      </c>
      <c r="AI13" s="25">
        <v>0.0</v>
      </c>
      <c r="AJ13" s="25">
        <v>0.0</v>
      </c>
      <c r="AK13" s="25">
        <v>0.0</v>
      </c>
      <c r="AL13" s="26">
        <f t="shared" si="6"/>
        <v>0</v>
      </c>
      <c r="AM13" s="27">
        <f t="shared" si="7"/>
        <v>0</v>
      </c>
      <c r="AN13" s="28" t="str">
        <f t="shared" si="8"/>
        <v>Conforme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1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0.0</v>
      </c>
      <c r="X14" s="21">
        <v>0.0</v>
      </c>
      <c r="Y14" s="21">
        <v>0.0</v>
      </c>
      <c r="Z14" s="22">
        <f t="shared" si="4"/>
        <v>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0.0</v>
      </c>
      <c r="AH14" s="25">
        <v>0.0</v>
      </c>
      <c r="AI14" s="25">
        <v>0.0</v>
      </c>
      <c r="AJ14" s="25">
        <v>0.0</v>
      </c>
      <c r="AK14" s="25">
        <v>0.0</v>
      </c>
      <c r="AL14" s="26">
        <f t="shared" si="6"/>
        <v>0</v>
      </c>
      <c r="AM14" s="27">
        <f t="shared" si="7"/>
        <v>0</v>
      </c>
      <c r="AN14" s="28" t="str">
        <f t="shared" si="8"/>
        <v>Conforme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1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0.0</v>
      </c>
      <c r="X15" s="21">
        <v>0.0</v>
      </c>
      <c r="Y15" s="21">
        <v>0.0</v>
      </c>
      <c r="Z15" s="22">
        <f t="shared" si="4"/>
        <v>0</v>
      </c>
      <c r="AA15" s="23">
        <v>1.0</v>
      </c>
      <c r="AB15" s="23">
        <v>0.0</v>
      </c>
      <c r="AC15" s="23">
        <v>0.0</v>
      </c>
      <c r="AD15" s="23">
        <v>0.0</v>
      </c>
      <c r="AE15" s="23">
        <v>0.0</v>
      </c>
      <c r="AF15" s="24">
        <f t="shared" si="5"/>
        <v>1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  <c r="AL15" s="26">
        <f t="shared" si="6"/>
        <v>0</v>
      </c>
      <c r="AM15" s="27">
        <f t="shared" si="7"/>
        <v>1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1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2">
        <f t="shared" si="4"/>
        <v>0</v>
      </c>
      <c r="AA16" s="23">
        <v>0.0</v>
      </c>
      <c r="AB16" s="23">
        <v>1.0</v>
      </c>
      <c r="AC16" s="23">
        <v>0.0</v>
      </c>
      <c r="AD16" s="23">
        <v>0.0</v>
      </c>
      <c r="AE16" s="23">
        <v>0.0</v>
      </c>
      <c r="AF16" s="24">
        <f t="shared" si="5"/>
        <v>1</v>
      </c>
      <c r="AG16" s="25">
        <v>0.0</v>
      </c>
      <c r="AH16" s="25">
        <v>0.0</v>
      </c>
      <c r="AI16" s="25">
        <v>0.0</v>
      </c>
      <c r="AJ16" s="25">
        <v>0.0</v>
      </c>
      <c r="AK16" s="25">
        <v>0.0</v>
      </c>
      <c r="AL16" s="26">
        <f t="shared" si="6"/>
        <v>0</v>
      </c>
      <c r="AM16" s="27">
        <f t="shared" si="7"/>
        <v>1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1"/>
        <v>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8">
        <f t="shared" si="2"/>
        <v>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22">
        <f t="shared" si="4"/>
        <v>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0.0</v>
      </c>
      <c r="AH17" s="25">
        <v>0.0</v>
      </c>
      <c r="AI17" s="25">
        <v>0.0</v>
      </c>
      <c r="AJ17" s="25">
        <v>0.0</v>
      </c>
      <c r="AK17" s="25">
        <v>0.0</v>
      </c>
      <c r="AL17" s="26">
        <f t="shared" si="6"/>
        <v>0</v>
      </c>
      <c r="AM17" s="27">
        <f t="shared" si="7"/>
        <v>0</v>
      </c>
      <c r="AN17" s="28" t="str">
        <f t="shared" si="8"/>
        <v>Conforme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1"/>
        <v>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8">
        <f t="shared" si="2"/>
        <v>0</v>
      </c>
      <c r="O18" s="19">
        <v>0.0</v>
      </c>
      <c r="P18" s="19">
        <v>1.0</v>
      </c>
      <c r="Q18" s="19">
        <v>0.0</v>
      </c>
      <c r="R18" s="19">
        <v>0.0</v>
      </c>
      <c r="S18" s="19">
        <v>0.0</v>
      </c>
      <c r="T18" s="20">
        <f t="shared" si="3"/>
        <v>1</v>
      </c>
      <c r="U18" s="21">
        <v>0.0</v>
      </c>
      <c r="V18" s="21">
        <v>0.0</v>
      </c>
      <c r="W18" s="21">
        <v>0.0</v>
      </c>
      <c r="X18" s="21">
        <v>0.0</v>
      </c>
      <c r="Y18" s="21">
        <v>0.0</v>
      </c>
      <c r="Z18" s="22">
        <f t="shared" si="4"/>
        <v>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0.0</v>
      </c>
      <c r="AH18" s="25">
        <v>0.0</v>
      </c>
      <c r="AI18" s="25">
        <v>0.0</v>
      </c>
      <c r="AJ18" s="25">
        <v>0.0</v>
      </c>
      <c r="AK18" s="25">
        <v>0.0</v>
      </c>
      <c r="AL18" s="26">
        <f t="shared" si="6"/>
        <v>0</v>
      </c>
      <c r="AM18" s="27">
        <f t="shared" si="7"/>
        <v>1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1"/>
        <v>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8">
        <f t="shared" si="2"/>
        <v>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0.0</v>
      </c>
      <c r="V19" s="21">
        <v>0.0</v>
      </c>
      <c r="W19" s="21">
        <v>0.0</v>
      </c>
      <c r="X19" s="21">
        <v>0.0</v>
      </c>
      <c r="Y19" s="21">
        <v>0.0</v>
      </c>
      <c r="Z19" s="22">
        <f t="shared" si="4"/>
        <v>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4">
        <f t="shared" si="5"/>
        <v>0</v>
      </c>
      <c r="AG19" s="25">
        <v>1.0</v>
      </c>
      <c r="AH19" s="25">
        <v>0.0</v>
      </c>
      <c r="AI19" s="25">
        <v>0.0</v>
      </c>
      <c r="AJ19" s="25">
        <v>0.0</v>
      </c>
      <c r="AK19" s="25">
        <v>0.0</v>
      </c>
      <c r="AL19" s="26">
        <f t="shared" si="6"/>
        <v>1</v>
      </c>
      <c r="AM19" s="27">
        <f t="shared" si="7"/>
        <v>1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5">
        <v>1.0</v>
      </c>
      <c r="E20" s="15">
        <v>0.0</v>
      </c>
      <c r="F20" s="15">
        <v>0.0</v>
      </c>
      <c r="G20" s="15">
        <v>0.0</v>
      </c>
      <c r="H20" s="16">
        <f t="shared" si="1"/>
        <v>1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f t="shared" si="3"/>
        <v>0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0.0</v>
      </c>
      <c r="AH20" s="25">
        <v>0.0</v>
      </c>
      <c r="AI20" s="25">
        <v>0.0</v>
      </c>
      <c r="AJ20" s="25">
        <v>0.0</v>
      </c>
      <c r="AK20" s="25">
        <v>0.0</v>
      </c>
      <c r="AL20" s="26">
        <f t="shared" si="6"/>
        <v>0</v>
      </c>
      <c r="AM20" s="27">
        <f t="shared" si="7"/>
        <v>1</v>
      </c>
      <c r="AN20" s="28" t="str">
        <f t="shared" si="8"/>
        <v>Atenção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1"/>
        <v>0</v>
      </c>
      <c r="I21" s="17">
        <v>0.0</v>
      </c>
      <c r="J21" s="17">
        <v>0.0</v>
      </c>
      <c r="K21" s="17">
        <v>1.0</v>
      </c>
      <c r="L21" s="17">
        <v>0.0</v>
      </c>
      <c r="M21" s="17">
        <v>0.0</v>
      </c>
      <c r="N21" s="18">
        <f t="shared" si="2"/>
        <v>1</v>
      </c>
      <c r="O21" s="19">
        <v>0.0</v>
      </c>
      <c r="P21" s="19">
        <v>1.0</v>
      </c>
      <c r="Q21" s="19">
        <v>0.0</v>
      </c>
      <c r="R21" s="19">
        <v>0.0</v>
      </c>
      <c r="S21" s="19">
        <v>0.0</v>
      </c>
      <c r="T21" s="20">
        <f t="shared" si="3"/>
        <v>1</v>
      </c>
      <c r="U21" s="21">
        <v>0.0</v>
      </c>
      <c r="V21" s="21">
        <v>0.0</v>
      </c>
      <c r="W21" s="21">
        <v>0.0</v>
      </c>
      <c r="X21" s="21">
        <v>0.0</v>
      </c>
      <c r="Y21" s="21">
        <v>0.0</v>
      </c>
      <c r="Z21" s="22">
        <f t="shared" si="4"/>
        <v>0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0</v>
      </c>
      <c r="AG21" s="25">
        <v>0.0</v>
      </c>
      <c r="AH21" s="25">
        <v>0.0</v>
      </c>
      <c r="AI21" s="25">
        <v>0.0</v>
      </c>
      <c r="AJ21" s="25">
        <v>0.0</v>
      </c>
      <c r="AK21" s="25">
        <v>0.0</v>
      </c>
      <c r="AL21" s="26">
        <f t="shared" si="6"/>
        <v>0</v>
      </c>
      <c r="AM21" s="27">
        <f t="shared" si="7"/>
        <v>2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1"/>
        <v>0</v>
      </c>
      <c r="I22" s="17">
        <v>1.0</v>
      </c>
      <c r="J22" s="17">
        <v>0.0</v>
      </c>
      <c r="K22" s="17">
        <v>0.0</v>
      </c>
      <c r="L22" s="17">
        <v>0.0</v>
      </c>
      <c r="M22" s="17">
        <v>0.0</v>
      </c>
      <c r="N22" s="18">
        <f t="shared" si="2"/>
        <v>1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20">
        <f t="shared" si="3"/>
        <v>1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0.0</v>
      </c>
      <c r="AH22" s="25">
        <v>0.0</v>
      </c>
      <c r="AI22" s="25">
        <v>0.0</v>
      </c>
      <c r="AJ22" s="25">
        <v>0.0</v>
      </c>
      <c r="AK22" s="25">
        <v>0.0</v>
      </c>
      <c r="AL22" s="26">
        <f t="shared" si="6"/>
        <v>0</v>
      </c>
      <c r="AM22" s="27">
        <f t="shared" si="7"/>
        <v>2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1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0</v>
      </c>
      <c r="AG23" s="25">
        <v>0.0</v>
      </c>
      <c r="AH23" s="25">
        <v>0.0</v>
      </c>
      <c r="AI23" s="25">
        <v>0.0</v>
      </c>
      <c r="AJ23" s="25">
        <v>0.0</v>
      </c>
      <c r="AK23" s="25">
        <v>0.0</v>
      </c>
      <c r="AL23" s="26">
        <f t="shared" si="6"/>
        <v>0</v>
      </c>
      <c r="AM23" s="27">
        <f t="shared" si="7"/>
        <v>0</v>
      </c>
      <c r="AN23" s="28" t="str">
        <f t="shared" si="8"/>
        <v>Conforme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1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0.0</v>
      </c>
      <c r="AH24" s="25">
        <v>0.0</v>
      </c>
      <c r="AI24" s="25">
        <v>0.0</v>
      </c>
      <c r="AJ24" s="25">
        <v>0.0</v>
      </c>
      <c r="AK24" s="25">
        <v>0.0</v>
      </c>
      <c r="AL24" s="26">
        <f t="shared" si="6"/>
        <v>0</v>
      </c>
      <c r="AM24" s="27">
        <f t="shared" si="7"/>
        <v>0</v>
      </c>
      <c r="AN24" s="28" t="str">
        <f t="shared" si="8"/>
        <v>Conforme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1"/>
        <v>0</v>
      </c>
      <c r="I25" s="17">
        <v>0.0</v>
      </c>
      <c r="J25" s="17">
        <v>1.0</v>
      </c>
      <c r="K25" s="17">
        <v>0.0</v>
      </c>
      <c r="L25" s="17">
        <v>0.0</v>
      </c>
      <c r="M25" s="17">
        <v>0.0</v>
      </c>
      <c r="N25" s="18">
        <f t="shared" si="2"/>
        <v>1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0.0</v>
      </c>
      <c r="AH25" s="25">
        <v>0.0</v>
      </c>
      <c r="AI25" s="25">
        <v>0.0</v>
      </c>
      <c r="AJ25" s="25">
        <v>0.0</v>
      </c>
      <c r="AK25" s="25">
        <v>0.0</v>
      </c>
      <c r="AL25" s="26">
        <f t="shared" si="6"/>
        <v>0</v>
      </c>
      <c r="AM25" s="27">
        <f t="shared" si="7"/>
        <v>1</v>
      </c>
      <c r="AN25" s="28" t="str">
        <f t="shared" si="8"/>
        <v>Atenção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1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0.0</v>
      </c>
      <c r="AH26" s="25">
        <v>0.0</v>
      </c>
      <c r="AI26" s="25">
        <v>0.0</v>
      </c>
      <c r="AJ26" s="25">
        <v>0.0</v>
      </c>
      <c r="AK26" s="25">
        <v>0.0</v>
      </c>
      <c r="AL26" s="26">
        <f t="shared" si="6"/>
        <v>0</v>
      </c>
      <c r="AM26" s="27">
        <f t="shared" si="7"/>
        <v>0</v>
      </c>
      <c r="AN26" s="28" t="str">
        <f t="shared" si="8"/>
        <v>Conforme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1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8">
        <f t="shared" si="2"/>
        <v>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0.0</v>
      </c>
      <c r="AH27" s="25">
        <v>0.0</v>
      </c>
      <c r="AI27" s="25">
        <v>1.0</v>
      </c>
      <c r="AJ27" s="25">
        <v>0.0</v>
      </c>
      <c r="AK27" s="25">
        <v>1.0</v>
      </c>
      <c r="AL27" s="26">
        <f t="shared" si="6"/>
        <v>2</v>
      </c>
      <c r="AM27" s="27">
        <f t="shared" si="7"/>
        <v>2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1"/>
        <v>0</v>
      </c>
      <c r="I28" s="17">
        <v>0.0</v>
      </c>
      <c r="J28" s="17">
        <v>1.0</v>
      </c>
      <c r="K28" s="17">
        <v>0.0</v>
      </c>
      <c r="L28" s="17">
        <v>0.0</v>
      </c>
      <c r="M28" s="17">
        <v>0.0</v>
      </c>
      <c r="N28" s="18">
        <f t="shared" si="2"/>
        <v>1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f t="shared" si="3"/>
        <v>0</v>
      </c>
      <c r="U28" s="21">
        <v>0.0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0.0</v>
      </c>
      <c r="AH28" s="25">
        <v>0.0</v>
      </c>
      <c r="AI28" s="25">
        <v>0.0</v>
      </c>
      <c r="AJ28" s="25">
        <v>1.0</v>
      </c>
      <c r="AK28" s="25">
        <v>0.0</v>
      </c>
      <c r="AL28" s="26">
        <f t="shared" si="6"/>
        <v>1</v>
      </c>
      <c r="AM28" s="27">
        <f t="shared" si="7"/>
        <v>2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6">
        <f t="shared" si="1"/>
        <v>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8">
        <f t="shared" si="2"/>
        <v>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22">
        <f t="shared" si="4"/>
        <v>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0.0</v>
      </c>
      <c r="AH29" s="25">
        <v>0.0</v>
      </c>
      <c r="AI29" s="25">
        <v>0.0</v>
      </c>
      <c r="AJ29" s="25">
        <v>0.0</v>
      </c>
      <c r="AK29" s="25">
        <v>0.0</v>
      </c>
      <c r="AL29" s="26">
        <f t="shared" si="6"/>
        <v>0</v>
      </c>
      <c r="AM29" s="27">
        <f t="shared" si="7"/>
        <v>0</v>
      </c>
      <c r="AN29" s="28" t="str">
        <f t="shared" si="8"/>
        <v>Conforme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1"/>
        <v>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8">
        <f t="shared" si="2"/>
        <v>0</v>
      </c>
      <c r="O30" s="19">
        <v>0.0</v>
      </c>
      <c r="P30" s="19">
        <v>0.0</v>
      </c>
      <c r="Q30" s="19">
        <v>1.0</v>
      </c>
      <c r="R30" s="19">
        <v>0.0</v>
      </c>
      <c r="S30" s="19">
        <v>0.0</v>
      </c>
      <c r="T30" s="20">
        <f t="shared" si="3"/>
        <v>1</v>
      </c>
      <c r="U30" s="21">
        <v>0.0</v>
      </c>
      <c r="V30" s="21">
        <v>0.0</v>
      </c>
      <c r="W30" s="21">
        <v>0.0</v>
      </c>
      <c r="X30" s="21">
        <v>0.0</v>
      </c>
      <c r="Y30" s="21">
        <v>0.0</v>
      </c>
      <c r="Z30" s="22">
        <f t="shared" si="4"/>
        <v>0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0.0</v>
      </c>
      <c r="AH30" s="25">
        <v>1.0</v>
      </c>
      <c r="AI30" s="25">
        <v>0.0</v>
      </c>
      <c r="AJ30" s="25">
        <v>0.0</v>
      </c>
      <c r="AK30" s="25">
        <v>0.0</v>
      </c>
      <c r="AL30" s="26">
        <f t="shared" si="6"/>
        <v>1</v>
      </c>
      <c r="AM30" s="27">
        <f t="shared" si="7"/>
        <v>2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1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19">
        <v>0.0</v>
      </c>
      <c r="P31" s="19">
        <v>1.0</v>
      </c>
      <c r="Q31" s="19">
        <v>0.0</v>
      </c>
      <c r="R31" s="19">
        <v>0.0</v>
      </c>
      <c r="S31" s="19">
        <v>0.0</v>
      </c>
      <c r="T31" s="20">
        <f t="shared" si="3"/>
        <v>1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22">
        <f t="shared" si="4"/>
        <v>0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0.0</v>
      </c>
      <c r="AH31" s="25">
        <v>0.0</v>
      </c>
      <c r="AI31" s="25">
        <v>0.0</v>
      </c>
      <c r="AJ31" s="25">
        <v>0.0</v>
      </c>
      <c r="AK31" s="25">
        <v>0.0</v>
      </c>
      <c r="AL31" s="26">
        <f t="shared" si="6"/>
        <v>0</v>
      </c>
      <c r="AM31" s="27">
        <f t="shared" si="7"/>
        <v>2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1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20">
        <f t="shared" si="3"/>
        <v>1</v>
      </c>
      <c r="U32" s="21">
        <v>0.0</v>
      </c>
      <c r="V32" s="21">
        <v>0.0</v>
      </c>
      <c r="W32" s="21">
        <v>0.0</v>
      </c>
      <c r="X32" s="21">
        <v>0.0</v>
      </c>
      <c r="Y32" s="21">
        <v>0.0</v>
      </c>
      <c r="Z32" s="22">
        <f t="shared" si="4"/>
        <v>0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0.0</v>
      </c>
      <c r="AH32" s="25">
        <v>0.0</v>
      </c>
      <c r="AI32" s="25">
        <v>0.0</v>
      </c>
      <c r="AJ32" s="25">
        <v>0.0</v>
      </c>
      <c r="AK32" s="25">
        <v>0.0</v>
      </c>
      <c r="AL32" s="26">
        <f t="shared" si="6"/>
        <v>0</v>
      </c>
      <c r="AM32" s="27">
        <f t="shared" si="7"/>
        <v>1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0"/>
    <col customWidth="1" min="2" max="2" width="60.0"/>
    <col customWidth="1" min="3" max="38" width="8.0"/>
    <col customWidth="1" min="39" max="40" width="12.0"/>
  </cols>
  <sheetData>
    <row r="1" ht="27.75" customHeight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</row>
    <row r="2" ht="31.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1" t="s">
        <v>39</v>
      </c>
      <c r="AN2" s="11" t="s">
        <v>40</v>
      </c>
    </row>
    <row r="3" ht="39.75" customHeight="1">
      <c r="A3" s="12" t="s">
        <v>41</v>
      </c>
      <c r="B3" s="13" t="s">
        <v>42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6">
        <f t="shared" ref="H3:H32" si="1">SUM(C3:G3)</f>
        <v>0</v>
      </c>
      <c r="I3" s="17">
        <v>0.0</v>
      </c>
      <c r="J3" s="17">
        <v>0.0</v>
      </c>
      <c r="K3" s="17">
        <v>0.0</v>
      </c>
      <c r="L3" s="17">
        <v>0.0</v>
      </c>
      <c r="M3" s="17">
        <v>0.0</v>
      </c>
      <c r="N3" s="18">
        <f t="shared" ref="N3:N32" si="2">SUM(I3:M3)</f>
        <v>0</v>
      </c>
      <c r="O3" s="19">
        <v>0.0</v>
      </c>
      <c r="P3" s="19">
        <v>0.0</v>
      </c>
      <c r="Q3" s="19">
        <v>0.0</v>
      </c>
      <c r="R3" s="19">
        <v>0.0</v>
      </c>
      <c r="S3" s="19">
        <v>0.0</v>
      </c>
      <c r="T3" s="20">
        <f t="shared" ref="T3:T32" si="3">SUM(O3:S3)</f>
        <v>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2">
        <f t="shared" ref="Z3:Z32" si="4">SUM(U3:Y3)</f>
        <v>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4">
        <f t="shared" ref="AF3:AF32" si="5">SUM(AA3:AE3)</f>
        <v>0</v>
      </c>
      <c r="AG3" s="25">
        <v>0.0</v>
      </c>
      <c r="AH3" s="25">
        <v>0.0</v>
      </c>
      <c r="AI3" s="25">
        <v>0.0</v>
      </c>
      <c r="AJ3" s="25">
        <v>0.0</v>
      </c>
      <c r="AK3" s="25">
        <v>0.0</v>
      </c>
      <c r="AL3" s="26">
        <f t="shared" ref="AL3:AL32" si="6">SUM(AG3:AK3)</f>
        <v>0</v>
      </c>
      <c r="AM3" s="27">
        <f t="shared" ref="AM3:AM32" si="7">H3+N3+T3+Z3+AF3+AL3</f>
        <v>0</v>
      </c>
      <c r="AN3" s="28" t="str">
        <f t="shared" ref="AN3:AN32" si="8">IF(AM3=0,"Conforme",IF(AM3&lt;=12,"Atenção","Crítico"))</f>
        <v>Conforme</v>
      </c>
    </row>
    <row r="4" ht="39.75" customHeight="1">
      <c r="A4" s="29" t="s">
        <v>43</v>
      </c>
      <c r="B4" s="30" t="s">
        <v>44</v>
      </c>
      <c r="C4" s="15">
        <v>0.0</v>
      </c>
      <c r="D4" s="15">
        <v>0.0</v>
      </c>
      <c r="E4" s="15">
        <v>0.0</v>
      </c>
      <c r="F4" s="15">
        <v>0.0</v>
      </c>
      <c r="G4" s="15">
        <v>0.0</v>
      </c>
      <c r="H4" s="16">
        <f t="shared" si="1"/>
        <v>0</v>
      </c>
      <c r="I4" s="17">
        <v>0.0</v>
      </c>
      <c r="J4" s="17">
        <v>0.0</v>
      </c>
      <c r="K4" s="17">
        <v>1.0</v>
      </c>
      <c r="L4" s="17">
        <v>0.0</v>
      </c>
      <c r="M4" s="17">
        <v>0.0</v>
      </c>
      <c r="N4" s="18">
        <f t="shared" si="2"/>
        <v>1</v>
      </c>
      <c r="O4" s="19">
        <v>0.0</v>
      </c>
      <c r="P4" s="19">
        <v>0.0</v>
      </c>
      <c r="Q4" s="19">
        <v>0.0</v>
      </c>
      <c r="R4" s="19">
        <v>0.0</v>
      </c>
      <c r="S4" s="19">
        <v>0.0</v>
      </c>
      <c r="T4" s="20">
        <f t="shared" si="3"/>
        <v>0</v>
      </c>
      <c r="U4" s="21">
        <v>0.0</v>
      </c>
      <c r="V4" s="21">
        <v>0.0</v>
      </c>
      <c r="W4" s="21">
        <v>0.0</v>
      </c>
      <c r="X4" s="21">
        <v>0.0</v>
      </c>
      <c r="Y4" s="21">
        <v>0.0</v>
      </c>
      <c r="Z4" s="22">
        <f t="shared" si="4"/>
        <v>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4">
        <f t="shared" si="5"/>
        <v>0</v>
      </c>
      <c r="AG4" s="25">
        <v>0.0</v>
      </c>
      <c r="AH4" s="25">
        <v>0.0</v>
      </c>
      <c r="AI4" s="25">
        <v>0.0</v>
      </c>
      <c r="AJ4" s="25">
        <v>0.0</v>
      </c>
      <c r="AK4" s="25">
        <v>0.0</v>
      </c>
      <c r="AL4" s="26">
        <f t="shared" si="6"/>
        <v>0</v>
      </c>
      <c r="AM4" s="27">
        <f t="shared" si="7"/>
        <v>1</v>
      </c>
      <c r="AN4" s="28" t="str">
        <f t="shared" si="8"/>
        <v>Atenção</v>
      </c>
    </row>
    <row r="5" ht="39.75" customHeight="1">
      <c r="A5" s="12" t="s">
        <v>45</v>
      </c>
      <c r="B5" s="13" t="s">
        <v>46</v>
      </c>
      <c r="C5" s="15">
        <v>0.0</v>
      </c>
      <c r="D5" s="15">
        <v>0.0</v>
      </c>
      <c r="E5" s="15">
        <v>0.0</v>
      </c>
      <c r="F5" s="15">
        <v>0.0</v>
      </c>
      <c r="G5" s="15">
        <v>0.0</v>
      </c>
      <c r="H5" s="16">
        <f t="shared" si="1"/>
        <v>0</v>
      </c>
      <c r="I5" s="17">
        <v>0.0</v>
      </c>
      <c r="J5" s="17">
        <v>0.0</v>
      </c>
      <c r="K5" s="17">
        <v>0.0</v>
      </c>
      <c r="L5" s="17">
        <v>0.0</v>
      </c>
      <c r="M5" s="17">
        <v>0.0</v>
      </c>
      <c r="N5" s="18">
        <f t="shared" si="2"/>
        <v>0</v>
      </c>
      <c r="O5" s="19">
        <v>0.0</v>
      </c>
      <c r="P5" s="19">
        <v>0.0</v>
      </c>
      <c r="Q5" s="19">
        <v>0.0</v>
      </c>
      <c r="R5" s="19">
        <v>0.0</v>
      </c>
      <c r="S5" s="19">
        <v>0.0</v>
      </c>
      <c r="T5" s="20">
        <f t="shared" si="3"/>
        <v>0</v>
      </c>
      <c r="U5" s="21">
        <v>0.0</v>
      </c>
      <c r="V5" s="21">
        <v>0.0</v>
      </c>
      <c r="W5" s="21">
        <v>0.0</v>
      </c>
      <c r="X5" s="21">
        <v>0.0</v>
      </c>
      <c r="Y5" s="21">
        <v>0.0</v>
      </c>
      <c r="Z5" s="22">
        <f t="shared" si="4"/>
        <v>0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4">
        <f t="shared" si="5"/>
        <v>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6">
        <f t="shared" si="6"/>
        <v>0</v>
      </c>
      <c r="AM5" s="27">
        <f t="shared" si="7"/>
        <v>0</v>
      </c>
      <c r="AN5" s="28" t="str">
        <f t="shared" si="8"/>
        <v>Conforme</v>
      </c>
    </row>
    <row r="6" ht="39.75" customHeight="1">
      <c r="A6" s="29" t="s">
        <v>47</v>
      </c>
      <c r="B6" s="30" t="s">
        <v>48</v>
      </c>
      <c r="C6" s="15">
        <v>0.0</v>
      </c>
      <c r="D6" s="15">
        <v>0.0</v>
      </c>
      <c r="E6" s="15">
        <v>0.0</v>
      </c>
      <c r="F6" s="15">
        <v>0.0</v>
      </c>
      <c r="G6" s="15">
        <v>0.0</v>
      </c>
      <c r="H6" s="16">
        <f t="shared" si="1"/>
        <v>0</v>
      </c>
      <c r="I6" s="17">
        <v>0.0</v>
      </c>
      <c r="J6" s="17">
        <v>0.0</v>
      </c>
      <c r="K6" s="17">
        <v>0.0</v>
      </c>
      <c r="L6" s="17">
        <v>0.0</v>
      </c>
      <c r="M6" s="17">
        <v>0.0</v>
      </c>
      <c r="N6" s="18">
        <f t="shared" si="2"/>
        <v>0</v>
      </c>
      <c r="O6" s="19">
        <v>1.0</v>
      </c>
      <c r="P6" s="19">
        <v>0.0</v>
      </c>
      <c r="Q6" s="19">
        <v>0.0</v>
      </c>
      <c r="R6" s="19">
        <v>0.0</v>
      </c>
      <c r="S6" s="19">
        <v>0.0</v>
      </c>
      <c r="T6" s="20">
        <f t="shared" si="3"/>
        <v>1</v>
      </c>
      <c r="U6" s="21">
        <v>1.0</v>
      </c>
      <c r="V6" s="21">
        <v>0.0</v>
      </c>
      <c r="W6" s="21">
        <v>0.0</v>
      </c>
      <c r="X6" s="21">
        <v>0.0</v>
      </c>
      <c r="Y6" s="21">
        <v>0.0</v>
      </c>
      <c r="Z6" s="22">
        <f t="shared" si="4"/>
        <v>1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4">
        <f t="shared" si="5"/>
        <v>0</v>
      </c>
      <c r="AG6" s="25">
        <v>1.0</v>
      </c>
      <c r="AH6" s="25">
        <v>0.0</v>
      </c>
      <c r="AI6" s="25">
        <v>0.0</v>
      </c>
      <c r="AJ6" s="25">
        <v>0.0</v>
      </c>
      <c r="AK6" s="25">
        <v>0.0</v>
      </c>
      <c r="AL6" s="26">
        <f t="shared" si="6"/>
        <v>1</v>
      </c>
      <c r="AM6" s="27">
        <f t="shared" si="7"/>
        <v>3</v>
      </c>
      <c r="AN6" s="28" t="str">
        <f t="shared" si="8"/>
        <v>Atenção</v>
      </c>
    </row>
    <row r="7" ht="39.75" customHeight="1">
      <c r="A7" s="12" t="s">
        <v>49</v>
      </c>
      <c r="B7" s="13" t="s">
        <v>50</v>
      </c>
      <c r="C7" s="15">
        <v>0.0</v>
      </c>
      <c r="D7" s="15">
        <v>0.0</v>
      </c>
      <c r="E7" s="15">
        <v>0.0</v>
      </c>
      <c r="F7" s="15">
        <v>0.0</v>
      </c>
      <c r="G7" s="15">
        <v>1.0</v>
      </c>
      <c r="H7" s="16">
        <f t="shared" si="1"/>
        <v>1</v>
      </c>
      <c r="I7" s="17">
        <v>0.0</v>
      </c>
      <c r="J7" s="17">
        <v>0.0</v>
      </c>
      <c r="K7" s="17">
        <v>0.0</v>
      </c>
      <c r="L7" s="17">
        <v>1.0</v>
      </c>
      <c r="M7" s="17">
        <v>0.0</v>
      </c>
      <c r="N7" s="18">
        <f t="shared" si="2"/>
        <v>1</v>
      </c>
      <c r="O7" s="19">
        <v>0.0</v>
      </c>
      <c r="P7" s="19">
        <v>1.0</v>
      </c>
      <c r="Q7" s="19">
        <v>0.0</v>
      </c>
      <c r="R7" s="19">
        <v>0.0</v>
      </c>
      <c r="S7" s="19">
        <v>0.0</v>
      </c>
      <c r="T7" s="20">
        <f t="shared" si="3"/>
        <v>1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2">
        <f t="shared" si="4"/>
        <v>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4">
        <f t="shared" si="5"/>
        <v>0</v>
      </c>
      <c r="AG7" s="25">
        <v>0.0</v>
      </c>
      <c r="AH7" s="25">
        <v>0.0</v>
      </c>
      <c r="AI7" s="25">
        <v>0.0</v>
      </c>
      <c r="AJ7" s="25">
        <v>0.0</v>
      </c>
      <c r="AK7" s="25">
        <v>0.0</v>
      </c>
      <c r="AL7" s="26">
        <f t="shared" si="6"/>
        <v>0</v>
      </c>
      <c r="AM7" s="27">
        <f t="shared" si="7"/>
        <v>3</v>
      </c>
      <c r="AN7" s="28" t="str">
        <f t="shared" si="8"/>
        <v>Atenção</v>
      </c>
    </row>
    <row r="8" ht="39.75" customHeight="1">
      <c r="A8" s="29" t="s">
        <v>51</v>
      </c>
      <c r="B8" s="30" t="s">
        <v>52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6">
        <f t="shared" si="1"/>
        <v>0</v>
      </c>
      <c r="I8" s="17">
        <v>0.0</v>
      </c>
      <c r="J8" s="17">
        <v>0.0</v>
      </c>
      <c r="K8" s="17">
        <v>0.0</v>
      </c>
      <c r="L8" s="17">
        <v>0.0</v>
      </c>
      <c r="M8" s="17">
        <v>0.0</v>
      </c>
      <c r="N8" s="18">
        <f t="shared" si="2"/>
        <v>0</v>
      </c>
      <c r="O8" s="19">
        <v>1.0</v>
      </c>
      <c r="P8" s="19">
        <v>0.0</v>
      </c>
      <c r="Q8" s="19">
        <v>0.0</v>
      </c>
      <c r="R8" s="19">
        <v>0.0</v>
      </c>
      <c r="S8" s="19">
        <v>0.0</v>
      </c>
      <c r="T8" s="20">
        <f t="shared" si="3"/>
        <v>1</v>
      </c>
      <c r="U8" s="21">
        <v>1.0</v>
      </c>
      <c r="V8" s="21">
        <v>0.0</v>
      </c>
      <c r="W8" s="21">
        <v>0.0</v>
      </c>
      <c r="X8" s="21">
        <v>0.0</v>
      </c>
      <c r="Y8" s="21">
        <v>1.0</v>
      </c>
      <c r="Z8" s="22">
        <f t="shared" si="4"/>
        <v>2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4">
        <f t="shared" si="5"/>
        <v>0</v>
      </c>
      <c r="AG8" s="25">
        <v>0.0</v>
      </c>
      <c r="AH8" s="25">
        <v>1.0</v>
      </c>
      <c r="AI8" s="25">
        <v>0.0</v>
      </c>
      <c r="AJ8" s="25">
        <v>0.0</v>
      </c>
      <c r="AK8" s="25">
        <v>0.0</v>
      </c>
      <c r="AL8" s="26">
        <f t="shared" si="6"/>
        <v>1</v>
      </c>
      <c r="AM8" s="27">
        <f t="shared" si="7"/>
        <v>4</v>
      </c>
      <c r="AN8" s="28" t="str">
        <f t="shared" si="8"/>
        <v>Atenção</v>
      </c>
    </row>
    <row r="9" ht="39.75" customHeight="1">
      <c r="A9" s="12" t="s">
        <v>53</v>
      </c>
      <c r="B9" s="13" t="s">
        <v>54</v>
      </c>
      <c r="C9" s="15">
        <v>1.0</v>
      </c>
      <c r="D9" s="15">
        <v>0.0</v>
      </c>
      <c r="E9" s="15">
        <v>0.0</v>
      </c>
      <c r="F9" s="15">
        <v>0.0</v>
      </c>
      <c r="G9" s="15">
        <v>0.0</v>
      </c>
      <c r="H9" s="16">
        <f t="shared" si="1"/>
        <v>1</v>
      </c>
      <c r="I9" s="17">
        <v>0.0</v>
      </c>
      <c r="J9" s="17">
        <v>0.0</v>
      </c>
      <c r="K9" s="17">
        <v>0.0</v>
      </c>
      <c r="L9" s="17">
        <v>0.0</v>
      </c>
      <c r="M9" s="17">
        <v>0.0</v>
      </c>
      <c r="N9" s="18">
        <f t="shared" si="2"/>
        <v>0</v>
      </c>
      <c r="O9" s="19">
        <v>0.0</v>
      </c>
      <c r="P9" s="19">
        <v>1.0</v>
      </c>
      <c r="Q9" s="19">
        <v>0.0</v>
      </c>
      <c r="R9" s="19">
        <v>0.0</v>
      </c>
      <c r="S9" s="19">
        <v>0.0</v>
      </c>
      <c r="T9" s="20">
        <f t="shared" si="3"/>
        <v>1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2">
        <f t="shared" si="4"/>
        <v>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4">
        <f t="shared" si="5"/>
        <v>0</v>
      </c>
      <c r="AG9" s="25">
        <v>0.0</v>
      </c>
      <c r="AH9" s="25">
        <v>0.0</v>
      </c>
      <c r="AI9" s="25">
        <v>0.0</v>
      </c>
      <c r="AJ9" s="25">
        <v>0.0</v>
      </c>
      <c r="AK9" s="25">
        <v>0.0</v>
      </c>
      <c r="AL9" s="26">
        <f t="shared" si="6"/>
        <v>0</v>
      </c>
      <c r="AM9" s="27">
        <f t="shared" si="7"/>
        <v>2</v>
      </c>
      <c r="AN9" s="28" t="str">
        <f t="shared" si="8"/>
        <v>Atenção</v>
      </c>
    </row>
    <row r="10" ht="39.75" customHeight="1">
      <c r="A10" s="29" t="s">
        <v>55</v>
      </c>
      <c r="B10" s="30" t="s">
        <v>56</v>
      </c>
      <c r="C10" s="15">
        <v>0.0</v>
      </c>
      <c r="D10" s="15">
        <v>0.0</v>
      </c>
      <c r="E10" s="15">
        <v>0.0</v>
      </c>
      <c r="F10" s="15">
        <v>0.0</v>
      </c>
      <c r="G10" s="15">
        <v>0.0</v>
      </c>
      <c r="H10" s="16">
        <f t="shared" si="1"/>
        <v>0</v>
      </c>
      <c r="I10" s="17">
        <v>0.0</v>
      </c>
      <c r="J10" s="17">
        <v>0.0</v>
      </c>
      <c r="K10" s="17">
        <v>0.0</v>
      </c>
      <c r="L10" s="17">
        <v>0.0</v>
      </c>
      <c r="M10" s="17">
        <v>0.0</v>
      </c>
      <c r="N10" s="18">
        <f t="shared" si="2"/>
        <v>0</v>
      </c>
      <c r="O10" s="19">
        <v>1.0</v>
      </c>
      <c r="P10" s="19">
        <v>0.0</v>
      </c>
      <c r="Q10" s="19">
        <v>0.0</v>
      </c>
      <c r="R10" s="19">
        <v>0.0</v>
      </c>
      <c r="S10" s="19">
        <v>0.0</v>
      </c>
      <c r="T10" s="20">
        <f t="shared" si="3"/>
        <v>1</v>
      </c>
      <c r="U10" s="21">
        <v>0.0</v>
      </c>
      <c r="V10" s="21">
        <v>0.0</v>
      </c>
      <c r="W10" s="21">
        <v>1.0</v>
      </c>
      <c r="X10" s="21">
        <v>0.0</v>
      </c>
      <c r="Y10" s="21">
        <v>0.0</v>
      </c>
      <c r="Z10" s="22">
        <f t="shared" si="4"/>
        <v>1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4">
        <f t="shared" si="5"/>
        <v>0</v>
      </c>
      <c r="AG10" s="25">
        <v>0.0</v>
      </c>
      <c r="AH10" s="25">
        <v>0.0</v>
      </c>
      <c r="AI10" s="25">
        <v>0.0</v>
      </c>
      <c r="AJ10" s="25">
        <v>0.0</v>
      </c>
      <c r="AK10" s="25">
        <v>0.0</v>
      </c>
      <c r="AL10" s="26">
        <f t="shared" si="6"/>
        <v>0</v>
      </c>
      <c r="AM10" s="27">
        <f t="shared" si="7"/>
        <v>2</v>
      </c>
      <c r="AN10" s="28" t="str">
        <f t="shared" si="8"/>
        <v>Atenção</v>
      </c>
    </row>
    <row r="11" ht="39.75" customHeight="1">
      <c r="A11" s="12" t="s">
        <v>57</v>
      </c>
      <c r="B11" s="13" t="s">
        <v>58</v>
      </c>
      <c r="C11" s="15">
        <v>0.0</v>
      </c>
      <c r="D11" s="15">
        <v>0.0</v>
      </c>
      <c r="E11" s="15">
        <v>1.0</v>
      </c>
      <c r="F11" s="15">
        <v>1.0</v>
      </c>
      <c r="G11" s="15">
        <v>0.0</v>
      </c>
      <c r="H11" s="16">
        <f t="shared" si="1"/>
        <v>2</v>
      </c>
      <c r="I11" s="17">
        <v>0.0</v>
      </c>
      <c r="J11" s="17">
        <v>0.0</v>
      </c>
      <c r="K11" s="17">
        <v>0.0</v>
      </c>
      <c r="L11" s="17">
        <v>0.0</v>
      </c>
      <c r="M11" s="17">
        <v>0.0</v>
      </c>
      <c r="N11" s="18">
        <f t="shared" si="2"/>
        <v>0</v>
      </c>
      <c r="O11" s="19">
        <v>1.0</v>
      </c>
      <c r="P11" s="19">
        <v>0.0</v>
      </c>
      <c r="Q11" s="19">
        <v>0.0</v>
      </c>
      <c r="R11" s="19">
        <v>0.0</v>
      </c>
      <c r="S11" s="19">
        <v>0.0</v>
      </c>
      <c r="T11" s="20">
        <f t="shared" si="3"/>
        <v>1</v>
      </c>
      <c r="U11" s="21">
        <v>0.0</v>
      </c>
      <c r="V11" s="21">
        <v>0.0</v>
      </c>
      <c r="W11" s="21">
        <v>0.0</v>
      </c>
      <c r="X11" s="21">
        <v>1.0</v>
      </c>
      <c r="Y11" s="21">
        <v>0.0</v>
      </c>
      <c r="Z11" s="22">
        <f t="shared" si="4"/>
        <v>1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4">
        <f t="shared" si="5"/>
        <v>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  <c r="AL11" s="26">
        <f t="shared" si="6"/>
        <v>0</v>
      </c>
      <c r="AM11" s="27">
        <f t="shared" si="7"/>
        <v>4</v>
      </c>
      <c r="AN11" s="28" t="str">
        <f t="shared" si="8"/>
        <v>Atenção</v>
      </c>
    </row>
    <row r="12" ht="39.75" customHeight="1">
      <c r="A12" s="29" t="s">
        <v>59</v>
      </c>
      <c r="B12" s="30" t="s">
        <v>60</v>
      </c>
      <c r="C12" s="15">
        <v>0.0</v>
      </c>
      <c r="D12" s="15">
        <v>0.0</v>
      </c>
      <c r="E12" s="15">
        <v>0.0</v>
      </c>
      <c r="F12" s="15">
        <v>1.0</v>
      </c>
      <c r="G12" s="15">
        <v>0.0</v>
      </c>
      <c r="H12" s="16">
        <f t="shared" si="1"/>
        <v>1</v>
      </c>
      <c r="I12" s="17">
        <v>0.0</v>
      </c>
      <c r="J12" s="17">
        <v>0.0</v>
      </c>
      <c r="K12" s="17">
        <v>1.0</v>
      </c>
      <c r="L12" s="17">
        <v>0.0</v>
      </c>
      <c r="M12" s="17">
        <v>0.0</v>
      </c>
      <c r="N12" s="18">
        <f t="shared" si="2"/>
        <v>1</v>
      </c>
      <c r="O12" s="19">
        <v>0.0</v>
      </c>
      <c r="P12" s="19">
        <v>0.0</v>
      </c>
      <c r="Q12" s="19">
        <v>0.0</v>
      </c>
      <c r="R12" s="19">
        <v>0.0</v>
      </c>
      <c r="S12" s="19">
        <v>0.0</v>
      </c>
      <c r="T12" s="20">
        <f t="shared" si="3"/>
        <v>0</v>
      </c>
      <c r="U12" s="21">
        <v>0.0</v>
      </c>
      <c r="V12" s="21">
        <v>0.0</v>
      </c>
      <c r="W12" s="21">
        <v>0.0</v>
      </c>
      <c r="X12" s="21">
        <v>0.0</v>
      </c>
      <c r="Y12" s="21">
        <v>0.0</v>
      </c>
      <c r="Z12" s="22">
        <f t="shared" si="4"/>
        <v>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4">
        <f t="shared" si="5"/>
        <v>0</v>
      </c>
      <c r="AG12" s="25">
        <v>1.0</v>
      </c>
      <c r="AH12" s="25">
        <v>0.0</v>
      </c>
      <c r="AI12" s="25">
        <v>0.0</v>
      </c>
      <c r="AJ12" s="25">
        <v>0.0</v>
      </c>
      <c r="AK12" s="25">
        <v>0.0</v>
      </c>
      <c r="AL12" s="26">
        <f t="shared" si="6"/>
        <v>1</v>
      </c>
      <c r="AM12" s="27">
        <f t="shared" si="7"/>
        <v>3</v>
      </c>
      <c r="AN12" s="28" t="str">
        <f t="shared" si="8"/>
        <v>Atenção</v>
      </c>
    </row>
    <row r="13" ht="39.75" customHeight="1">
      <c r="A13" s="12" t="s">
        <v>61</v>
      </c>
      <c r="B13" s="13" t="s">
        <v>62</v>
      </c>
      <c r="C13" s="15">
        <v>0.0</v>
      </c>
      <c r="D13" s="15">
        <v>0.0</v>
      </c>
      <c r="E13" s="15">
        <v>0.0</v>
      </c>
      <c r="F13" s="15">
        <v>0.0</v>
      </c>
      <c r="G13" s="15">
        <v>0.0</v>
      </c>
      <c r="H13" s="16">
        <f t="shared" si="1"/>
        <v>0</v>
      </c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8">
        <f t="shared" si="2"/>
        <v>0</v>
      </c>
      <c r="O13" s="19">
        <v>0.0</v>
      </c>
      <c r="P13" s="19">
        <v>0.0</v>
      </c>
      <c r="Q13" s="19">
        <v>0.0</v>
      </c>
      <c r="R13" s="19">
        <v>0.0</v>
      </c>
      <c r="S13" s="19">
        <v>0.0</v>
      </c>
      <c r="T13" s="20">
        <f t="shared" si="3"/>
        <v>0</v>
      </c>
      <c r="U13" s="21">
        <v>1.0</v>
      </c>
      <c r="V13" s="21">
        <v>0.0</v>
      </c>
      <c r="W13" s="21">
        <v>0.0</v>
      </c>
      <c r="X13" s="21">
        <v>0.0</v>
      </c>
      <c r="Y13" s="21">
        <v>0.0</v>
      </c>
      <c r="Z13" s="22">
        <f t="shared" si="4"/>
        <v>1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4">
        <f t="shared" si="5"/>
        <v>0</v>
      </c>
      <c r="AG13" s="25">
        <v>0.0</v>
      </c>
      <c r="AH13" s="25">
        <v>0.0</v>
      </c>
      <c r="AI13" s="25">
        <v>1.0</v>
      </c>
      <c r="AJ13" s="25">
        <v>0.0</v>
      </c>
      <c r="AK13" s="25">
        <v>0.0</v>
      </c>
      <c r="AL13" s="26">
        <f t="shared" si="6"/>
        <v>1</v>
      </c>
      <c r="AM13" s="27">
        <f t="shared" si="7"/>
        <v>2</v>
      </c>
      <c r="AN13" s="28" t="str">
        <f t="shared" si="8"/>
        <v>Atenção</v>
      </c>
    </row>
    <row r="14" ht="39.75" customHeight="1">
      <c r="A14" s="29" t="s">
        <v>63</v>
      </c>
      <c r="B14" s="30" t="s">
        <v>64</v>
      </c>
      <c r="C14" s="15">
        <v>0.0</v>
      </c>
      <c r="D14" s="15">
        <v>0.0</v>
      </c>
      <c r="E14" s="15">
        <v>0.0</v>
      </c>
      <c r="F14" s="15">
        <v>0.0</v>
      </c>
      <c r="G14" s="15">
        <v>0.0</v>
      </c>
      <c r="H14" s="16">
        <f t="shared" si="1"/>
        <v>0</v>
      </c>
      <c r="I14" s="17">
        <v>0.0</v>
      </c>
      <c r="J14" s="17">
        <v>0.0</v>
      </c>
      <c r="K14" s="17">
        <v>0.0</v>
      </c>
      <c r="L14" s="17">
        <v>0.0</v>
      </c>
      <c r="M14" s="17">
        <v>0.0</v>
      </c>
      <c r="N14" s="18">
        <f t="shared" si="2"/>
        <v>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20">
        <f t="shared" si="3"/>
        <v>0</v>
      </c>
      <c r="U14" s="21">
        <v>0.0</v>
      </c>
      <c r="V14" s="21">
        <v>0.0</v>
      </c>
      <c r="W14" s="21">
        <v>0.0</v>
      </c>
      <c r="X14" s="21">
        <v>0.0</v>
      </c>
      <c r="Y14" s="21">
        <v>0.0</v>
      </c>
      <c r="Z14" s="22">
        <f t="shared" si="4"/>
        <v>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4">
        <f t="shared" si="5"/>
        <v>0</v>
      </c>
      <c r="AG14" s="25">
        <v>0.0</v>
      </c>
      <c r="AH14" s="25">
        <v>0.0</v>
      </c>
      <c r="AI14" s="25">
        <v>0.0</v>
      </c>
      <c r="AJ14" s="25">
        <v>0.0</v>
      </c>
      <c r="AK14" s="25">
        <v>0.0</v>
      </c>
      <c r="AL14" s="26">
        <f t="shared" si="6"/>
        <v>0</v>
      </c>
      <c r="AM14" s="27">
        <f t="shared" si="7"/>
        <v>0</v>
      </c>
      <c r="AN14" s="28" t="str">
        <f t="shared" si="8"/>
        <v>Conforme</v>
      </c>
    </row>
    <row r="15" ht="39.75" customHeight="1">
      <c r="A15" s="12" t="s">
        <v>65</v>
      </c>
      <c r="B15" s="13" t="s">
        <v>66</v>
      </c>
      <c r="C15" s="15">
        <v>0.0</v>
      </c>
      <c r="D15" s="15">
        <v>0.0</v>
      </c>
      <c r="E15" s="15">
        <v>0.0</v>
      </c>
      <c r="F15" s="15">
        <v>0.0</v>
      </c>
      <c r="G15" s="15">
        <v>0.0</v>
      </c>
      <c r="H15" s="16">
        <f t="shared" si="1"/>
        <v>0</v>
      </c>
      <c r="I15" s="17">
        <v>0.0</v>
      </c>
      <c r="J15" s="17">
        <v>0.0</v>
      </c>
      <c r="K15" s="17">
        <v>0.0</v>
      </c>
      <c r="L15" s="17">
        <v>0.0</v>
      </c>
      <c r="M15" s="17">
        <v>0.0</v>
      </c>
      <c r="N15" s="18">
        <f t="shared" si="2"/>
        <v>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f t="shared" si="3"/>
        <v>0</v>
      </c>
      <c r="U15" s="21">
        <v>0.0</v>
      </c>
      <c r="V15" s="21">
        <v>0.0</v>
      </c>
      <c r="W15" s="21">
        <v>1.0</v>
      </c>
      <c r="X15" s="21">
        <v>0.0</v>
      </c>
      <c r="Y15" s="21">
        <v>0.0</v>
      </c>
      <c r="Z15" s="22">
        <f t="shared" si="4"/>
        <v>1</v>
      </c>
      <c r="AA15" s="23">
        <v>1.0</v>
      </c>
      <c r="AB15" s="23">
        <v>0.0</v>
      </c>
      <c r="AC15" s="23">
        <v>0.0</v>
      </c>
      <c r="AD15" s="23">
        <v>0.0</v>
      </c>
      <c r="AE15" s="23">
        <v>0.0</v>
      </c>
      <c r="AF15" s="24">
        <f t="shared" si="5"/>
        <v>1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  <c r="AL15" s="26">
        <f t="shared" si="6"/>
        <v>0</v>
      </c>
      <c r="AM15" s="27">
        <f t="shared" si="7"/>
        <v>2</v>
      </c>
      <c r="AN15" s="28" t="str">
        <f t="shared" si="8"/>
        <v>Atenção</v>
      </c>
    </row>
    <row r="16" ht="39.75" customHeight="1">
      <c r="A16" s="29" t="s">
        <v>67</v>
      </c>
      <c r="B16" s="30" t="s">
        <v>68</v>
      </c>
      <c r="C16" s="15">
        <v>0.0</v>
      </c>
      <c r="D16" s="15">
        <v>0.0</v>
      </c>
      <c r="E16" s="15">
        <v>0.0</v>
      </c>
      <c r="F16" s="15">
        <v>0.0</v>
      </c>
      <c r="G16" s="15">
        <v>0.0</v>
      </c>
      <c r="H16" s="16">
        <f t="shared" si="1"/>
        <v>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8">
        <f t="shared" si="2"/>
        <v>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20">
        <f t="shared" si="3"/>
        <v>0</v>
      </c>
      <c r="U16" s="21">
        <v>0.0</v>
      </c>
      <c r="V16" s="21">
        <v>0.0</v>
      </c>
      <c r="W16" s="21">
        <v>1.0</v>
      </c>
      <c r="X16" s="21">
        <v>0.0</v>
      </c>
      <c r="Y16" s="21">
        <v>0.0</v>
      </c>
      <c r="Z16" s="22">
        <f t="shared" si="4"/>
        <v>1</v>
      </c>
      <c r="AA16" s="23">
        <v>0.0</v>
      </c>
      <c r="AB16" s="23">
        <v>1.0</v>
      </c>
      <c r="AC16" s="23">
        <v>0.0</v>
      </c>
      <c r="AD16" s="23">
        <v>0.0</v>
      </c>
      <c r="AE16" s="23">
        <v>0.0</v>
      </c>
      <c r="AF16" s="24">
        <f t="shared" si="5"/>
        <v>1</v>
      </c>
      <c r="AG16" s="25">
        <v>0.0</v>
      </c>
      <c r="AH16" s="25">
        <v>0.0</v>
      </c>
      <c r="AI16" s="25">
        <v>0.0</v>
      </c>
      <c r="AJ16" s="25">
        <v>0.0</v>
      </c>
      <c r="AK16" s="25">
        <v>0.0</v>
      </c>
      <c r="AL16" s="26">
        <f t="shared" si="6"/>
        <v>0</v>
      </c>
      <c r="AM16" s="27">
        <f t="shared" si="7"/>
        <v>2</v>
      </c>
      <c r="AN16" s="28" t="str">
        <f t="shared" si="8"/>
        <v>Atenção</v>
      </c>
    </row>
    <row r="17" ht="39.75" customHeight="1">
      <c r="A17" s="12" t="s">
        <v>69</v>
      </c>
      <c r="B17" s="13" t="s">
        <v>70</v>
      </c>
      <c r="C17" s="15">
        <v>0.0</v>
      </c>
      <c r="D17" s="15">
        <v>0.0</v>
      </c>
      <c r="E17" s="15">
        <v>0.0</v>
      </c>
      <c r="F17" s="15">
        <v>0.0</v>
      </c>
      <c r="G17" s="15">
        <v>0.0</v>
      </c>
      <c r="H17" s="16">
        <f t="shared" si="1"/>
        <v>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8">
        <f t="shared" si="2"/>
        <v>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20">
        <f t="shared" si="3"/>
        <v>0</v>
      </c>
      <c r="U17" s="21">
        <v>0.0</v>
      </c>
      <c r="V17" s="21">
        <v>0.0</v>
      </c>
      <c r="W17" s="21">
        <v>0.0</v>
      </c>
      <c r="X17" s="21">
        <v>0.0</v>
      </c>
      <c r="Y17" s="21">
        <v>0.0</v>
      </c>
      <c r="Z17" s="22">
        <f t="shared" si="4"/>
        <v>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4">
        <f t="shared" si="5"/>
        <v>0</v>
      </c>
      <c r="AG17" s="25">
        <v>1.0</v>
      </c>
      <c r="AH17" s="25">
        <v>0.0</v>
      </c>
      <c r="AI17" s="25">
        <v>0.0</v>
      </c>
      <c r="AJ17" s="25">
        <v>0.0</v>
      </c>
      <c r="AK17" s="25">
        <v>0.0</v>
      </c>
      <c r="AL17" s="26">
        <f t="shared" si="6"/>
        <v>1</v>
      </c>
      <c r="AM17" s="27">
        <f t="shared" si="7"/>
        <v>1</v>
      </c>
      <c r="AN17" s="28" t="str">
        <f t="shared" si="8"/>
        <v>Atenção</v>
      </c>
    </row>
    <row r="18" ht="39.75" customHeight="1">
      <c r="A18" s="29" t="s">
        <v>71</v>
      </c>
      <c r="B18" s="30" t="s">
        <v>72</v>
      </c>
      <c r="C18" s="15">
        <v>0.0</v>
      </c>
      <c r="D18" s="15">
        <v>0.0</v>
      </c>
      <c r="E18" s="15">
        <v>0.0</v>
      </c>
      <c r="F18" s="15">
        <v>0.0</v>
      </c>
      <c r="G18" s="15">
        <v>0.0</v>
      </c>
      <c r="H18" s="16">
        <f t="shared" si="1"/>
        <v>0</v>
      </c>
      <c r="I18" s="17">
        <v>0.0</v>
      </c>
      <c r="J18" s="17">
        <v>0.0</v>
      </c>
      <c r="K18" s="17">
        <v>1.0</v>
      </c>
      <c r="L18" s="17">
        <v>0.0</v>
      </c>
      <c r="M18" s="17">
        <v>0.0</v>
      </c>
      <c r="N18" s="18">
        <f t="shared" si="2"/>
        <v>1</v>
      </c>
      <c r="O18" s="19">
        <v>0.0</v>
      </c>
      <c r="P18" s="19">
        <v>1.0</v>
      </c>
      <c r="Q18" s="19">
        <v>0.0</v>
      </c>
      <c r="R18" s="19">
        <v>0.0</v>
      </c>
      <c r="S18" s="19">
        <v>0.0</v>
      </c>
      <c r="T18" s="20">
        <f t="shared" si="3"/>
        <v>1</v>
      </c>
      <c r="U18" s="21">
        <v>0.0</v>
      </c>
      <c r="V18" s="21">
        <v>0.0</v>
      </c>
      <c r="W18" s="21">
        <v>0.0</v>
      </c>
      <c r="X18" s="21">
        <v>0.0</v>
      </c>
      <c r="Y18" s="21">
        <v>0.0</v>
      </c>
      <c r="Z18" s="22">
        <f t="shared" si="4"/>
        <v>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4">
        <f t="shared" si="5"/>
        <v>0</v>
      </c>
      <c r="AG18" s="25">
        <v>1.0</v>
      </c>
      <c r="AH18" s="25">
        <v>0.0</v>
      </c>
      <c r="AI18" s="25">
        <v>0.0</v>
      </c>
      <c r="AJ18" s="25">
        <v>0.0</v>
      </c>
      <c r="AK18" s="25">
        <v>0.0</v>
      </c>
      <c r="AL18" s="26">
        <f t="shared" si="6"/>
        <v>1</v>
      </c>
      <c r="AM18" s="27">
        <f t="shared" si="7"/>
        <v>3</v>
      </c>
      <c r="AN18" s="28" t="str">
        <f t="shared" si="8"/>
        <v>Atenção</v>
      </c>
    </row>
    <row r="19" ht="39.75" customHeight="1">
      <c r="A19" s="12" t="s">
        <v>73</v>
      </c>
      <c r="B19" s="13" t="s">
        <v>74</v>
      </c>
      <c r="C19" s="15">
        <v>0.0</v>
      </c>
      <c r="D19" s="15">
        <v>0.0</v>
      </c>
      <c r="E19" s="15">
        <v>0.0</v>
      </c>
      <c r="F19" s="15">
        <v>0.0</v>
      </c>
      <c r="G19" s="15">
        <v>0.0</v>
      </c>
      <c r="H19" s="16">
        <f t="shared" si="1"/>
        <v>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8">
        <f t="shared" si="2"/>
        <v>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20">
        <f t="shared" si="3"/>
        <v>0</v>
      </c>
      <c r="U19" s="21">
        <v>0.0</v>
      </c>
      <c r="V19" s="21">
        <v>0.0</v>
      </c>
      <c r="W19" s="21">
        <v>1.0</v>
      </c>
      <c r="X19" s="21">
        <v>0.0</v>
      </c>
      <c r="Y19" s="21">
        <v>0.0</v>
      </c>
      <c r="Z19" s="22">
        <f t="shared" si="4"/>
        <v>1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4">
        <f t="shared" si="5"/>
        <v>0</v>
      </c>
      <c r="AG19" s="25">
        <v>1.0</v>
      </c>
      <c r="AH19" s="25">
        <v>0.0</v>
      </c>
      <c r="AI19" s="25">
        <v>0.0</v>
      </c>
      <c r="AJ19" s="25">
        <v>0.0</v>
      </c>
      <c r="AK19" s="25">
        <v>0.0</v>
      </c>
      <c r="AL19" s="26">
        <f t="shared" si="6"/>
        <v>1</v>
      </c>
      <c r="AM19" s="27">
        <f t="shared" si="7"/>
        <v>2</v>
      </c>
      <c r="AN19" s="28" t="str">
        <f t="shared" si="8"/>
        <v>Atenção</v>
      </c>
    </row>
    <row r="20" ht="39.75" customHeight="1">
      <c r="A20" s="29" t="s">
        <v>75</v>
      </c>
      <c r="B20" s="30" t="s">
        <v>76</v>
      </c>
      <c r="C20" s="15">
        <v>0.0</v>
      </c>
      <c r="D20" s="15">
        <v>0.0</v>
      </c>
      <c r="E20" s="15">
        <v>0.0</v>
      </c>
      <c r="F20" s="15">
        <v>0.0</v>
      </c>
      <c r="G20" s="15">
        <v>0.0</v>
      </c>
      <c r="H20" s="16">
        <f t="shared" si="1"/>
        <v>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8">
        <f t="shared" si="2"/>
        <v>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20">
        <f t="shared" si="3"/>
        <v>0</v>
      </c>
      <c r="U20" s="21">
        <v>0.0</v>
      </c>
      <c r="V20" s="21">
        <v>0.0</v>
      </c>
      <c r="W20" s="21">
        <v>0.0</v>
      </c>
      <c r="X20" s="21">
        <v>0.0</v>
      </c>
      <c r="Y20" s="21">
        <v>0.0</v>
      </c>
      <c r="Z20" s="22">
        <f t="shared" si="4"/>
        <v>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4">
        <f t="shared" si="5"/>
        <v>0</v>
      </c>
      <c r="AG20" s="25">
        <v>0.0</v>
      </c>
      <c r="AH20" s="25">
        <v>0.0</v>
      </c>
      <c r="AI20" s="25">
        <v>1.0</v>
      </c>
      <c r="AJ20" s="25">
        <v>0.0</v>
      </c>
      <c r="AK20" s="25">
        <v>1.0</v>
      </c>
      <c r="AL20" s="26">
        <f t="shared" si="6"/>
        <v>2</v>
      </c>
      <c r="AM20" s="27">
        <f t="shared" si="7"/>
        <v>2</v>
      </c>
      <c r="AN20" s="28" t="str">
        <f t="shared" si="8"/>
        <v>Atenção</v>
      </c>
    </row>
    <row r="21" ht="39.75" customHeight="1">
      <c r="A21" s="12" t="s">
        <v>77</v>
      </c>
      <c r="B21" s="13" t="s">
        <v>78</v>
      </c>
      <c r="C21" s="15">
        <v>0.0</v>
      </c>
      <c r="D21" s="15">
        <v>0.0</v>
      </c>
      <c r="E21" s="15">
        <v>0.0</v>
      </c>
      <c r="F21" s="15">
        <v>0.0</v>
      </c>
      <c r="G21" s="15">
        <v>0.0</v>
      </c>
      <c r="H21" s="16">
        <f t="shared" si="1"/>
        <v>0</v>
      </c>
      <c r="I21" s="17">
        <v>0.0</v>
      </c>
      <c r="J21" s="17">
        <v>0.0</v>
      </c>
      <c r="K21" s="17">
        <v>1.0</v>
      </c>
      <c r="L21" s="17">
        <v>0.0</v>
      </c>
      <c r="M21" s="17">
        <v>1.0</v>
      </c>
      <c r="N21" s="18">
        <f t="shared" si="2"/>
        <v>2</v>
      </c>
      <c r="O21" s="19">
        <v>0.0</v>
      </c>
      <c r="P21" s="19">
        <v>1.0</v>
      </c>
      <c r="Q21" s="19">
        <v>0.0</v>
      </c>
      <c r="R21" s="19">
        <v>0.0</v>
      </c>
      <c r="S21" s="19">
        <v>0.0</v>
      </c>
      <c r="T21" s="20">
        <f t="shared" si="3"/>
        <v>1</v>
      </c>
      <c r="U21" s="21">
        <v>0.0</v>
      </c>
      <c r="V21" s="21">
        <v>0.0</v>
      </c>
      <c r="W21" s="21">
        <v>0.0</v>
      </c>
      <c r="X21" s="21">
        <v>0.0</v>
      </c>
      <c r="Y21" s="21">
        <v>0.0</v>
      </c>
      <c r="Z21" s="22">
        <f t="shared" si="4"/>
        <v>0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4">
        <f t="shared" si="5"/>
        <v>0</v>
      </c>
      <c r="AG21" s="25">
        <v>0.0</v>
      </c>
      <c r="AH21" s="25">
        <v>0.0</v>
      </c>
      <c r="AI21" s="25">
        <v>0.0</v>
      </c>
      <c r="AJ21" s="25">
        <v>0.0</v>
      </c>
      <c r="AK21" s="25">
        <v>0.0</v>
      </c>
      <c r="AL21" s="26">
        <f t="shared" si="6"/>
        <v>0</v>
      </c>
      <c r="AM21" s="27">
        <f t="shared" si="7"/>
        <v>3</v>
      </c>
      <c r="AN21" s="28" t="str">
        <f t="shared" si="8"/>
        <v>Atenção</v>
      </c>
    </row>
    <row r="22" ht="39.75" customHeight="1">
      <c r="A22" s="29" t="s">
        <v>79</v>
      </c>
      <c r="B22" s="30" t="s">
        <v>80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16">
        <f t="shared" si="1"/>
        <v>0</v>
      </c>
      <c r="I22" s="17">
        <v>0.0</v>
      </c>
      <c r="J22" s="17">
        <v>0.0</v>
      </c>
      <c r="K22" s="17">
        <v>0.0</v>
      </c>
      <c r="L22" s="17">
        <v>1.0</v>
      </c>
      <c r="M22" s="17">
        <v>0.0</v>
      </c>
      <c r="N22" s="18">
        <f t="shared" si="2"/>
        <v>1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20">
        <f t="shared" si="3"/>
        <v>0</v>
      </c>
      <c r="U22" s="21">
        <v>0.0</v>
      </c>
      <c r="V22" s="21">
        <v>0.0</v>
      </c>
      <c r="W22" s="21">
        <v>0.0</v>
      </c>
      <c r="X22" s="21">
        <v>0.0</v>
      </c>
      <c r="Y22" s="21">
        <v>0.0</v>
      </c>
      <c r="Z22" s="22">
        <f t="shared" si="4"/>
        <v>0</v>
      </c>
      <c r="AA22" s="23">
        <v>0.0</v>
      </c>
      <c r="AB22" s="23">
        <v>0.0</v>
      </c>
      <c r="AC22" s="23">
        <v>0.0</v>
      </c>
      <c r="AD22" s="23">
        <v>0.0</v>
      </c>
      <c r="AE22" s="23">
        <v>0.0</v>
      </c>
      <c r="AF22" s="24">
        <f t="shared" si="5"/>
        <v>0</v>
      </c>
      <c r="AG22" s="25">
        <v>0.0</v>
      </c>
      <c r="AH22" s="25">
        <v>0.0</v>
      </c>
      <c r="AI22" s="25">
        <v>0.0</v>
      </c>
      <c r="AJ22" s="25">
        <v>0.0</v>
      </c>
      <c r="AK22" s="25">
        <v>0.0</v>
      </c>
      <c r="AL22" s="26">
        <f t="shared" si="6"/>
        <v>0</v>
      </c>
      <c r="AM22" s="27">
        <f t="shared" si="7"/>
        <v>1</v>
      </c>
      <c r="AN22" s="28" t="str">
        <f t="shared" si="8"/>
        <v>Atenção</v>
      </c>
    </row>
    <row r="23" ht="39.75" customHeight="1">
      <c r="A23" s="12" t="s">
        <v>81</v>
      </c>
      <c r="B23" s="13" t="s">
        <v>82</v>
      </c>
      <c r="C23" s="15">
        <v>0.0</v>
      </c>
      <c r="D23" s="15">
        <v>0.0</v>
      </c>
      <c r="E23" s="15">
        <v>0.0</v>
      </c>
      <c r="F23" s="15">
        <v>0.0</v>
      </c>
      <c r="G23" s="15">
        <v>0.0</v>
      </c>
      <c r="H23" s="16">
        <f t="shared" si="1"/>
        <v>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8">
        <f t="shared" si="2"/>
        <v>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f t="shared" si="3"/>
        <v>0</v>
      </c>
      <c r="U23" s="21">
        <v>0.0</v>
      </c>
      <c r="V23" s="21">
        <v>0.0</v>
      </c>
      <c r="W23" s="21">
        <v>0.0</v>
      </c>
      <c r="X23" s="21">
        <v>0.0</v>
      </c>
      <c r="Y23" s="21">
        <v>0.0</v>
      </c>
      <c r="Z23" s="22">
        <f t="shared" si="4"/>
        <v>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4">
        <f t="shared" si="5"/>
        <v>0</v>
      </c>
      <c r="AG23" s="25">
        <v>0.0</v>
      </c>
      <c r="AH23" s="25">
        <v>0.0</v>
      </c>
      <c r="AI23" s="25">
        <v>1.0</v>
      </c>
      <c r="AJ23" s="25">
        <v>0.0</v>
      </c>
      <c r="AK23" s="25">
        <v>1.0</v>
      </c>
      <c r="AL23" s="26">
        <f t="shared" si="6"/>
        <v>2</v>
      </c>
      <c r="AM23" s="27">
        <f t="shared" si="7"/>
        <v>2</v>
      </c>
      <c r="AN23" s="28" t="str">
        <f t="shared" si="8"/>
        <v>Atenção</v>
      </c>
    </row>
    <row r="24" ht="39.75" customHeight="1">
      <c r="A24" s="29" t="s">
        <v>83</v>
      </c>
      <c r="B24" s="30" t="s">
        <v>84</v>
      </c>
      <c r="C24" s="15">
        <v>0.0</v>
      </c>
      <c r="D24" s="15">
        <v>0.0</v>
      </c>
      <c r="E24" s="15">
        <v>0.0</v>
      </c>
      <c r="F24" s="15">
        <v>0.0</v>
      </c>
      <c r="G24" s="15">
        <v>0.0</v>
      </c>
      <c r="H24" s="16">
        <f t="shared" si="1"/>
        <v>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8">
        <f t="shared" si="2"/>
        <v>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20">
        <f t="shared" si="3"/>
        <v>0</v>
      </c>
      <c r="U24" s="21">
        <v>0.0</v>
      </c>
      <c r="V24" s="21">
        <v>0.0</v>
      </c>
      <c r="W24" s="21">
        <v>0.0</v>
      </c>
      <c r="X24" s="21">
        <v>0.0</v>
      </c>
      <c r="Y24" s="21">
        <v>0.0</v>
      </c>
      <c r="Z24" s="22">
        <f t="shared" si="4"/>
        <v>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4">
        <f t="shared" si="5"/>
        <v>0</v>
      </c>
      <c r="AG24" s="25">
        <v>0.0</v>
      </c>
      <c r="AH24" s="25">
        <v>0.0</v>
      </c>
      <c r="AI24" s="25">
        <v>1.0</v>
      </c>
      <c r="AJ24" s="25">
        <v>0.0</v>
      </c>
      <c r="AK24" s="25">
        <v>0.0</v>
      </c>
      <c r="AL24" s="26">
        <f t="shared" si="6"/>
        <v>1</v>
      </c>
      <c r="AM24" s="27">
        <f t="shared" si="7"/>
        <v>1</v>
      </c>
      <c r="AN24" s="28" t="str">
        <f t="shared" si="8"/>
        <v>Atenção</v>
      </c>
    </row>
    <row r="25" ht="39.75" customHeight="1">
      <c r="A25" s="12" t="s">
        <v>85</v>
      </c>
      <c r="B25" s="13" t="s">
        <v>86</v>
      </c>
      <c r="C25" s="15">
        <v>0.0</v>
      </c>
      <c r="D25" s="15">
        <v>0.0</v>
      </c>
      <c r="E25" s="15">
        <v>0.0</v>
      </c>
      <c r="F25" s="15">
        <v>0.0</v>
      </c>
      <c r="G25" s="15">
        <v>0.0</v>
      </c>
      <c r="H25" s="16">
        <f t="shared" si="1"/>
        <v>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8">
        <f t="shared" si="2"/>
        <v>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f t="shared" si="3"/>
        <v>0</v>
      </c>
      <c r="U25" s="21">
        <v>0.0</v>
      </c>
      <c r="V25" s="21">
        <v>0.0</v>
      </c>
      <c r="W25" s="21">
        <v>0.0</v>
      </c>
      <c r="X25" s="21">
        <v>0.0</v>
      </c>
      <c r="Y25" s="21">
        <v>0.0</v>
      </c>
      <c r="Z25" s="22">
        <f t="shared" si="4"/>
        <v>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4">
        <f t="shared" si="5"/>
        <v>0</v>
      </c>
      <c r="AG25" s="25">
        <v>0.0</v>
      </c>
      <c r="AH25" s="25">
        <v>0.0</v>
      </c>
      <c r="AI25" s="25">
        <v>0.0</v>
      </c>
      <c r="AJ25" s="25">
        <v>1.0</v>
      </c>
      <c r="AK25" s="25">
        <v>0.0</v>
      </c>
      <c r="AL25" s="26">
        <f t="shared" si="6"/>
        <v>1</v>
      </c>
      <c r="AM25" s="27">
        <f t="shared" si="7"/>
        <v>1</v>
      </c>
      <c r="AN25" s="28" t="str">
        <f t="shared" si="8"/>
        <v>Atenção</v>
      </c>
    </row>
    <row r="26" ht="39.75" customHeight="1">
      <c r="A26" s="29" t="s">
        <v>87</v>
      </c>
      <c r="B26" s="30" t="s">
        <v>88</v>
      </c>
      <c r="C26" s="15">
        <v>0.0</v>
      </c>
      <c r="D26" s="15">
        <v>0.0</v>
      </c>
      <c r="E26" s="15">
        <v>0.0</v>
      </c>
      <c r="F26" s="15">
        <v>0.0</v>
      </c>
      <c r="G26" s="15">
        <v>0.0</v>
      </c>
      <c r="H26" s="16">
        <f t="shared" si="1"/>
        <v>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8">
        <f t="shared" si="2"/>
        <v>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20">
        <f t="shared" si="3"/>
        <v>0</v>
      </c>
      <c r="U26" s="21">
        <v>0.0</v>
      </c>
      <c r="V26" s="21">
        <v>0.0</v>
      </c>
      <c r="W26" s="21">
        <v>0.0</v>
      </c>
      <c r="X26" s="21">
        <v>0.0</v>
      </c>
      <c r="Y26" s="21">
        <v>0.0</v>
      </c>
      <c r="Z26" s="22">
        <f t="shared" si="4"/>
        <v>0</v>
      </c>
      <c r="AA26" s="23">
        <v>0.0</v>
      </c>
      <c r="AB26" s="23">
        <v>0.0</v>
      </c>
      <c r="AC26" s="23">
        <v>0.0</v>
      </c>
      <c r="AD26" s="23">
        <v>0.0</v>
      </c>
      <c r="AE26" s="23">
        <v>0.0</v>
      </c>
      <c r="AF26" s="24">
        <f t="shared" si="5"/>
        <v>0</v>
      </c>
      <c r="AG26" s="25">
        <v>0.0</v>
      </c>
      <c r="AH26" s="25">
        <v>0.0</v>
      </c>
      <c r="AI26" s="25">
        <v>1.0</v>
      </c>
      <c r="AJ26" s="25">
        <v>0.0</v>
      </c>
      <c r="AK26" s="25">
        <v>0.0</v>
      </c>
      <c r="AL26" s="26">
        <f t="shared" si="6"/>
        <v>1</v>
      </c>
      <c r="AM26" s="27">
        <f t="shared" si="7"/>
        <v>1</v>
      </c>
      <c r="AN26" s="28" t="str">
        <f t="shared" si="8"/>
        <v>Atenção</v>
      </c>
    </row>
    <row r="27" ht="39.75" customHeight="1">
      <c r="A27" s="12" t="s">
        <v>89</v>
      </c>
      <c r="B27" s="13" t="s">
        <v>90</v>
      </c>
      <c r="C27" s="15">
        <v>0.0</v>
      </c>
      <c r="D27" s="15">
        <v>0.0</v>
      </c>
      <c r="E27" s="15">
        <v>0.0</v>
      </c>
      <c r="F27" s="15">
        <v>0.0</v>
      </c>
      <c r="G27" s="15">
        <v>0.0</v>
      </c>
      <c r="H27" s="16">
        <f t="shared" si="1"/>
        <v>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8">
        <f t="shared" si="2"/>
        <v>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f t="shared" si="3"/>
        <v>0</v>
      </c>
      <c r="U27" s="21">
        <v>0.0</v>
      </c>
      <c r="V27" s="21">
        <v>0.0</v>
      </c>
      <c r="W27" s="21">
        <v>0.0</v>
      </c>
      <c r="X27" s="21">
        <v>0.0</v>
      </c>
      <c r="Y27" s="21">
        <v>0.0</v>
      </c>
      <c r="Z27" s="22">
        <f t="shared" si="4"/>
        <v>0</v>
      </c>
      <c r="AA27" s="23">
        <v>0.0</v>
      </c>
      <c r="AB27" s="23">
        <v>0.0</v>
      </c>
      <c r="AC27" s="23">
        <v>0.0</v>
      </c>
      <c r="AD27" s="23">
        <v>0.0</v>
      </c>
      <c r="AE27" s="23">
        <v>0.0</v>
      </c>
      <c r="AF27" s="24">
        <f t="shared" si="5"/>
        <v>0</v>
      </c>
      <c r="AG27" s="25">
        <v>0.0</v>
      </c>
      <c r="AH27" s="25">
        <v>0.0</v>
      </c>
      <c r="AI27" s="25">
        <v>1.0</v>
      </c>
      <c r="AJ27" s="25">
        <v>0.0</v>
      </c>
      <c r="AK27" s="25">
        <v>1.0</v>
      </c>
      <c r="AL27" s="26">
        <f t="shared" si="6"/>
        <v>2</v>
      </c>
      <c r="AM27" s="27">
        <f t="shared" si="7"/>
        <v>2</v>
      </c>
      <c r="AN27" s="28" t="str">
        <f t="shared" si="8"/>
        <v>Atenção</v>
      </c>
    </row>
    <row r="28" ht="39.75" customHeight="1">
      <c r="A28" s="29" t="s">
        <v>91</v>
      </c>
      <c r="B28" s="30" t="s">
        <v>92</v>
      </c>
      <c r="C28" s="15">
        <v>0.0</v>
      </c>
      <c r="D28" s="15">
        <v>0.0</v>
      </c>
      <c r="E28" s="15">
        <v>0.0</v>
      </c>
      <c r="F28" s="15">
        <v>0.0</v>
      </c>
      <c r="G28" s="15">
        <v>0.0</v>
      </c>
      <c r="H28" s="16">
        <f t="shared" si="1"/>
        <v>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8">
        <f t="shared" si="2"/>
        <v>0</v>
      </c>
      <c r="O28" s="19">
        <v>0.0</v>
      </c>
      <c r="P28" s="19">
        <v>0.0</v>
      </c>
      <c r="Q28" s="19">
        <v>1.0</v>
      </c>
      <c r="R28" s="19">
        <v>0.0</v>
      </c>
      <c r="S28" s="19">
        <v>0.0</v>
      </c>
      <c r="T28" s="20">
        <f t="shared" si="3"/>
        <v>1</v>
      </c>
      <c r="U28" s="21">
        <v>0.0</v>
      </c>
      <c r="V28" s="21">
        <v>0.0</v>
      </c>
      <c r="W28" s="21">
        <v>0.0</v>
      </c>
      <c r="X28" s="21">
        <v>0.0</v>
      </c>
      <c r="Y28" s="21">
        <v>0.0</v>
      </c>
      <c r="Z28" s="22">
        <f t="shared" si="4"/>
        <v>0</v>
      </c>
      <c r="AA28" s="23">
        <v>0.0</v>
      </c>
      <c r="AB28" s="23">
        <v>0.0</v>
      </c>
      <c r="AC28" s="23">
        <v>0.0</v>
      </c>
      <c r="AD28" s="23">
        <v>0.0</v>
      </c>
      <c r="AE28" s="23">
        <v>0.0</v>
      </c>
      <c r="AF28" s="24">
        <f t="shared" si="5"/>
        <v>0</v>
      </c>
      <c r="AG28" s="25">
        <v>0.0</v>
      </c>
      <c r="AH28" s="25">
        <v>0.0</v>
      </c>
      <c r="AI28" s="25">
        <v>0.0</v>
      </c>
      <c r="AJ28" s="25">
        <v>1.0</v>
      </c>
      <c r="AK28" s="25">
        <v>0.0</v>
      </c>
      <c r="AL28" s="26">
        <f t="shared" si="6"/>
        <v>1</v>
      </c>
      <c r="AM28" s="27">
        <f t="shared" si="7"/>
        <v>2</v>
      </c>
      <c r="AN28" s="28" t="str">
        <f t="shared" si="8"/>
        <v>Atenção</v>
      </c>
    </row>
    <row r="29" ht="39.75" customHeight="1">
      <c r="A29" s="12" t="s">
        <v>93</v>
      </c>
      <c r="B29" s="13" t="s">
        <v>94</v>
      </c>
      <c r="C29" s="15">
        <v>0.0</v>
      </c>
      <c r="D29" s="15">
        <v>0.0</v>
      </c>
      <c r="E29" s="15">
        <v>0.0</v>
      </c>
      <c r="F29" s="15">
        <v>0.0</v>
      </c>
      <c r="G29" s="15">
        <v>0.0</v>
      </c>
      <c r="H29" s="16">
        <f t="shared" si="1"/>
        <v>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8">
        <f t="shared" si="2"/>
        <v>0</v>
      </c>
      <c r="O29" s="19">
        <v>0.0</v>
      </c>
      <c r="P29" s="19">
        <v>0.0</v>
      </c>
      <c r="Q29" s="19">
        <v>0.0</v>
      </c>
      <c r="R29" s="19">
        <v>0.0</v>
      </c>
      <c r="S29" s="19">
        <v>0.0</v>
      </c>
      <c r="T29" s="20">
        <f t="shared" si="3"/>
        <v>0</v>
      </c>
      <c r="U29" s="21">
        <v>0.0</v>
      </c>
      <c r="V29" s="21">
        <v>0.0</v>
      </c>
      <c r="W29" s="21">
        <v>0.0</v>
      </c>
      <c r="X29" s="21">
        <v>0.0</v>
      </c>
      <c r="Y29" s="21">
        <v>0.0</v>
      </c>
      <c r="Z29" s="22">
        <f t="shared" si="4"/>
        <v>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4">
        <f t="shared" si="5"/>
        <v>0</v>
      </c>
      <c r="AG29" s="25">
        <v>0.0</v>
      </c>
      <c r="AH29" s="25">
        <v>1.0</v>
      </c>
      <c r="AI29" s="25">
        <v>0.0</v>
      </c>
      <c r="AJ29" s="25">
        <v>0.0</v>
      </c>
      <c r="AK29" s="25">
        <v>0.0</v>
      </c>
      <c r="AL29" s="26">
        <f t="shared" si="6"/>
        <v>1</v>
      </c>
      <c r="AM29" s="27">
        <f t="shared" si="7"/>
        <v>1</v>
      </c>
      <c r="AN29" s="28" t="str">
        <f t="shared" si="8"/>
        <v>Atenção</v>
      </c>
    </row>
    <row r="30" ht="39.75" customHeight="1">
      <c r="A30" s="29" t="s">
        <v>95</v>
      </c>
      <c r="B30" s="30" t="s">
        <v>96</v>
      </c>
      <c r="C30" s="15">
        <v>0.0</v>
      </c>
      <c r="D30" s="15">
        <v>0.0</v>
      </c>
      <c r="E30" s="15">
        <v>0.0</v>
      </c>
      <c r="F30" s="15">
        <v>0.0</v>
      </c>
      <c r="G30" s="15">
        <v>0.0</v>
      </c>
      <c r="H30" s="16">
        <f t="shared" si="1"/>
        <v>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8">
        <f t="shared" si="2"/>
        <v>0</v>
      </c>
      <c r="O30" s="19">
        <v>0.0</v>
      </c>
      <c r="P30" s="19">
        <v>0.0</v>
      </c>
      <c r="Q30" s="19">
        <v>1.0</v>
      </c>
      <c r="R30" s="19">
        <v>0.0</v>
      </c>
      <c r="S30" s="19">
        <v>0.0</v>
      </c>
      <c r="T30" s="20">
        <f t="shared" si="3"/>
        <v>1</v>
      </c>
      <c r="U30" s="21">
        <v>1.0</v>
      </c>
      <c r="V30" s="21">
        <v>0.0</v>
      </c>
      <c r="W30" s="21">
        <v>0.0</v>
      </c>
      <c r="X30" s="21">
        <v>0.0</v>
      </c>
      <c r="Y30" s="21">
        <v>0.0</v>
      </c>
      <c r="Z30" s="22">
        <f t="shared" si="4"/>
        <v>1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4">
        <f t="shared" si="5"/>
        <v>0</v>
      </c>
      <c r="AG30" s="25">
        <v>0.0</v>
      </c>
      <c r="AH30" s="25">
        <v>1.0</v>
      </c>
      <c r="AI30" s="25">
        <v>0.0</v>
      </c>
      <c r="AJ30" s="25">
        <v>0.0</v>
      </c>
      <c r="AK30" s="25">
        <v>0.0</v>
      </c>
      <c r="AL30" s="26">
        <f t="shared" si="6"/>
        <v>1</v>
      </c>
      <c r="AM30" s="27">
        <f t="shared" si="7"/>
        <v>3</v>
      </c>
      <c r="AN30" s="28" t="str">
        <f t="shared" si="8"/>
        <v>Atenção</v>
      </c>
    </row>
    <row r="31" ht="39.75" customHeight="1">
      <c r="A31" s="12" t="s">
        <v>97</v>
      </c>
      <c r="B31" s="13" t="s">
        <v>98</v>
      </c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16">
        <f t="shared" si="1"/>
        <v>0</v>
      </c>
      <c r="I31" s="17">
        <v>1.0</v>
      </c>
      <c r="J31" s="17">
        <v>0.0</v>
      </c>
      <c r="K31" s="17">
        <v>0.0</v>
      </c>
      <c r="L31" s="17">
        <v>0.0</v>
      </c>
      <c r="M31" s="17">
        <v>0.0</v>
      </c>
      <c r="N31" s="18">
        <f t="shared" si="2"/>
        <v>1</v>
      </c>
      <c r="O31" s="19">
        <v>0.0</v>
      </c>
      <c r="P31" s="19">
        <v>1.0</v>
      </c>
      <c r="Q31" s="19">
        <v>0.0</v>
      </c>
      <c r="R31" s="19">
        <v>0.0</v>
      </c>
      <c r="S31" s="19">
        <v>0.0</v>
      </c>
      <c r="T31" s="20">
        <f t="shared" si="3"/>
        <v>1</v>
      </c>
      <c r="U31" s="21">
        <v>0.0</v>
      </c>
      <c r="V31" s="21">
        <v>0.0</v>
      </c>
      <c r="W31" s="21">
        <v>0.0</v>
      </c>
      <c r="X31" s="21">
        <v>0.0</v>
      </c>
      <c r="Y31" s="21">
        <v>0.0</v>
      </c>
      <c r="Z31" s="22">
        <f t="shared" si="4"/>
        <v>0</v>
      </c>
      <c r="AA31" s="23">
        <v>0.0</v>
      </c>
      <c r="AB31" s="23">
        <v>0.0</v>
      </c>
      <c r="AC31" s="23">
        <v>0.0</v>
      </c>
      <c r="AD31" s="23">
        <v>0.0</v>
      </c>
      <c r="AE31" s="23">
        <v>0.0</v>
      </c>
      <c r="AF31" s="24">
        <f t="shared" si="5"/>
        <v>0</v>
      </c>
      <c r="AG31" s="25">
        <v>0.0</v>
      </c>
      <c r="AH31" s="25">
        <v>1.0</v>
      </c>
      <c r="AI31" s="25">
        <v>0.0</v>
      </c>
      <c r="AJ31" s="25">
        <v>0.0</v>
      </c>
      <c r="AK31" s="25">
        <v>0.0</v>
      </c>
      <c r="AL31" s="26">
        <f t="shared" si="6"/>
        <v>1</v>
      </c>
      <c r="AM31" s="27">
        <f t="shared" si="7"/>
        <v>3</v>
      </c>
      <c r="AN31" s="28" t="str">
        <f t="shared" si="8"/>
        <v>Atenção</v>
      </c>
    </row>
    <row r="32" ht="39.75" customHeight="1">
      <c r="A32" s="29" t="s">
        <v>99</v>
      </c>
      <c r="B32" s="30" t="s">
        <v>100</v>
      </c>
      <c r="C32" s="15">
        <v>0.0</v>
      </c>
      <c r="D32" s="15">
        <v>0.0</v>
      </c>
      <c r="E32" s="15">
        <v>0.0</v>
      </c>
      <c r="F32" s="15">
        <v>0.0</v>
      </c>
      <c r="G32" s="15">
        <v>0.0</v>
      </c>
      <c r="H32" s="16">
        <f t="shared" si="1"/>
        <v>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8">
        <f t="shared" si="2"/>
        <v>0</v>
      </c>
      <c r="O32" s="19">
        <v>0.0</v>
      </c>
      <c r="P32" s="19">
        <v>0.0</v>
      </c>
      <c r="Q32" s="19">
        <v>0.0</v>
      </c>
      <c r="R32" s="19">
        <v>0.0</v>
      </c>
      <c r="S32" s="19">
        <v>1.0</v>
      </c>
      <c r="T32" s="20">
        <f t="shared" si="3"/>
        <v>1</v>
      </c>
      <c r="U32" s="21">
        <v>1.0</v>
      </c>
      <c r="V32" s="21">
        <v>0.0</v>
      </c>
      <c r="W32" s="21">
        <v>1.0</v>
      </c>
      <c r="X32" s="21">
        <v>0.0</v>
      </c>
      <c r="Y32" s="21">
        <v>0.0</v>
      </c>
      <c r="Z32" s="22">
        <f t="shared" si="4"/>
        <v>2</v>
      </c>
      <c r="AA32" s="23">
        <v>0.0</v>
      </c>
      <c r="AB32" s="23">
        <v>0.0</v>
      </c>
      <c r="AC32" s="23">
        <v>0.0</v>
      </c>
      <c r="AD32" s="23">
        <v>0.0</v>
      </c>
      <c r="AE32" s="23">
        <v>0.0</v>
      </c>
      <c r="AF32" s="24">
        <f t="shared" si="5"/>
        <v>0</v>
      </c>
      <c r="AG32" s="25">
        <v>1.0</v>
      </c>
      <c r="AH32" s="25">
        <v>0.0</v>
      </c>
      <c r="AI32" s="25">
        <v>0.0</v>
      </c>
      <c r="AJ32" s="25">
        <v>0.0</v>
      </c>
      <c r="AK32" s="25">
        <v>0.0</v>
      </c>
      <c r="AL32" s="26">
        <f t="shared" si="6"/>
        <v>1</v>
      </c>
      <c r="AM32" s="27">
        <f t="shared" si="7"/>
        <v>4</v>
      </c>
      <c r="AN32" s="28" t="str">
        <f t="shared" si="8"/>
        <v>Atenção</v>
      </c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</row>
  </sheetData>
  <mergeCells count="1">
    <mergeCell ref="A1:AN1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6.0"/>
    <col customWidth="1" min="2" max="9" width="16.0"/>
    <col customWidth="1" min="10" max="26" width="8.71"/>
  </cols>
  <sheetData>
    <row r="1" ht="30.0" customHeight="1">
      <c r="A1" s="37" t="s">
        <v>110</v>
      </c>
      <c r="B1" s="2"/>
      <c r="C1" s="2"/>
      <c r="D1" s="2"/>
      <c r="E1" s="2"/>
      <c r="F1" s="2"/>
      <c r="G1" s="2"/>
      <c r="H1" s="2"/>
      <c r="I1" s="3"/>
    </row>
    <row r="2" ht="36.0" customHeight="1">
      <c r="A2" s="38" t="s">
        <v>111</v>
      </c>
      <c r="B2" s="39" t="s">
        <v>112</v>
      </c>
      <c r="C2" s="40" t="s">
        <v>113</v>
      </c>
      <c r="D2" s="41" t="s">
        <v>114</v>
      </c>
      <c r="E2" s="42" t="s">
        <v>115</v>
      </c>
      <c r="F2" s="43" t="s">
        <v>116</v>
      </c>
      <c r="G2" s="44" t="s">
        <v>117</v>
      </c>
      <c r="H2" s="38" t="s">
        <v>118</v>
      </c>
      <c r="I2" s="45" t="s">
        <v>119</v>
      </c>
    </row>
    <row r="3" ht="19.5" customHeight="1">
      <c r="A3" s="46" t="s">
        <v>120</v>
      </c>
      <c r="B3" s="47">
        <f>SUM(Avaliacao_Humana!H3:H32)</f>
        <v>7</v>
      </c>
      <c r="C3" s="48">
        <f>SUM(Avaliacao_Humana!N3:N32)</f>
        <v>15</v>
      </c>
      <c r="D3" s="49">
        <f>SUM(Avaliacao_Humana!T3:T32)</f>
        <v>16</v>
      </c>
      <c r="E3" s="50">
        <f>SUM(Avaliacao_Humana!Z3:Z32)</f>
        <v>16</v>
      </c>
      <c r="F3" s="51">
        <f>SUM(Avaliacao_Humana!AF3:AF32)</f>
        <v>6</v>
      </c>
      <c r="G3" s="52">
        <f>SUM(Avaliacao_Humana!AL3:AL32)</f>
        <v>69</v>
      </c>
      <c r="H3" s="53">
        <f>SUM(Avaliacao_Humana!AM3:AM32)</f>
        <v>129</v>
      </c>
      <c r="I3" s="53" t="s">
        <v>121</v>
      </c>
    </row>
    <row r="4" ht="18.0" customHeight="1">
      <c r="A4" s="54" t="s">
        <v>122</v>
      </c>
      <c r="B4" s="55">
        <f>SUM(ChatGPT_ZeroShot!H3:H32)</f>
        <v>6</v>
      </c>
      <c r="C4" s="55">
        <f>SUM(ChatGPT_ZeroShot!N3:N32)</f>
        <v>15</v>
      </c>
      <c r="D4" s="55">
        <f>SUM(ChatGPT_ZeroShot!T3:T32)</f>
        <v>16</v>
      </c>
      <c r="E4" s="55">
        <f>SUM(ChatGPT_ZeroShot!Z3:Z32)</f>
        <v>6</v>
      </c>
      <c r="F4" s="55">
        <f>SUM(ChatGPT_ZeroShot!AF3:AF32)</f>
        <v>11</v>
      </c>
      <c r="G4" s="55">
        <f>SUM(ChatGPT_ZeroShot!AL3:AL32)</f>
        <v>122</v>
      </c>
      <c r="H4" s="56">
        <f>SUM(ChatGPT_ZeroShot!AM3:AM32)</f>
        <v>176</v>
      </c>
      <c r="I4" s="57">
        <f>IFERROR(H4/H3,"-")</f>
        <v>1.364341085</v>
      </c>
    </row>
    <row r="5" ht="18.0" customHeight="1">
      <c r="A5" s="58" t="s">
        <v>123</v>
      </c>
      <c r="B5" s="59">
        <f>SUM(ChatGPT_FewShot!H3:H32)</f>
        <v>1</v>
      </c>
      <c r="C5" s="59">
        <f>SUM(ChatGPT_FewShot!N3:N32)</f>
        <v>6</v>
      </c>
      <c r="D5" s="59">
        <f>SUM(ChatGPT_FewShot!T3:T32)</f>
        <v>6</v>
      </c>
      <c r="E5" s="59">
        <f>SUM(ChatGPT_FewShot!Z3:Z32)</f>
        <v>6</v>
      </c>
      <c r="F5" s="59">
        <f>SUM(ChatGPT_FewShot!AF3:AF32)</f>
        <v>4</v>
      </c>
      <c r="G5" s="59">
        <f>SUM(ChatGPT_FewShot!AL3:AL32)</f>
        <v>38</v>
      </c>
      <c r="H5" s="60">
        <f>SUM(ChatGPT_FewShot!AM3:AM32)</f>
        <v>61</v>
      </c>
      <c r="I5" s="61">
        <f>IFERROR(H5/H3,"-")</f>
        <v>0.4728682171</v>
      </c>
    </row>
    <row r="6" ht="18.0" customHeight="1">
      <c r="A6" s="54" t="s">
        <v>124</v>
      </c>
      <c r="B6" s="55">
        <f>SUM(ChatGPT_CoT!H3:H32)</f>
        <v>7</v>
      </c>
      <c r="C6" s="55">
        <f>SUM(ChatGPT_CoT!N3:N32)</f>
        <v>8</v>
      </c>
      <c r="D6" s="55">
        <f>SUM(ChatGPT_CoT!T3:T32)</f>
        <v>11</v>
      </c>
      <c r="E6" s="55">
        <f>SUM(ChatGPT_CoT!Z3:Z32)</f>
        <v>9</v>
      </c>
      <c r="F6" s="55">
        <f>SUM(ChatGPT_CoT!AF3:AF32)</f>
        <v>7</v>
      </c>
      <c r="G6" s="55">
        <f>SUM(ChatGPT_CoT!AL3:AL32)</f>
        <v>122</v>
      </c>
      <c r="H6" s="56">
        <f>SUM(ChatGPT_CoT!AM3:AM32)</f>
        <v>164</v>
      </c>
      <c r="I6" s="57">
        <f>IFERROR(H6/H3,"-")</f>
        <v>1.271317829</v>
      </c>
    </row>
    <row r="7" ht="18.0" customHeight="1">
      <c r="A7" s="58" t="s">
        <v>125</v>
      </c>
      <c r="B7" s="59">
        <f>SUM(Gemini_ZeroShot!H3:H32)</f>
        <v>4</v>
      </c>
      <c r="C7" s="59">
        <f>SUM(Gemini_ZeroShot!N3:N32)</f>
        <v>5</v>
      </c>
      <c r="D7" s="59">
        <f>SUM(Gemini_ZeroShot!T3:T32)</f>
        <v>5</v>
      </c>
      <c r="E7" s="59">
        <f>SUM(Gemini_ZeroShot!Z3:Z32)</f>
        <v>4</v>
      </c>
      <c r="F7" s="59">
        <f>SUM(Gemini_ZeroShot!AF3:AF32)</f>
        <v>2</v>
      </c>
      <c r="G7" s="59">
        <f>SUM(Gemini_ZeroShot!AL3:AL32)</f>
        <v>5</v>
      </c>
      <c r="H7" s="60">
        <f>SUM(Gemini_ZeroShot!AM3:AM32)</f>
        <v>25</v>
      </c>
      <c r="I7" s="61">
        <f>IFERROR(H7/H3,"-")</f>
        <v>0.1937984496</v>
      </c>
    </row>
    <row r="8" ht="18.0" customHeight="1">
      <c r="A8" s="54" t="s">
        <v>126</v>
      </c>
      <c r="B8" s="55">
        <f>SUM(Gemini_FewShot!H3:H32)</f>
        <v>4</v>
      </c>
      <c r="C8" s="55">
        <f>SUM(Gemini_FewShot!N3:N32)</f>
        <v>5</v>
      </c>
      <c r="D8" s="55">
        <f>SUM(Gemini_FewShot!T3:T32)</f>
        <v>15</v>
      </c>
      <c r="E8" s="55">
        <f>SUM(Gemini_FewShot!Z3:Z32)</f>
        <v>15</v>
      </c>
      <c r="F8" s="55">
        <f>SUM(Gemini_FewShot!AF3:AF32)</f>
        <v>3</v>
      </c>
      <c r="G8" s="55">
        <f>SUM(Gemini_FewShot!AL3:AL32)</f>
        <v>128</v>
      </c>
      <c r="H8" s="56">
        <f>SUM(Gemini_FewShot!AM3:AM32)</f>
        <v>170</v>
      </c>
      <c r="I8" s="57">
        <f>IFERROR(H8/H3,"-")</f>
        <v>1.317829457</v>
      </c>
    </row>
    <row r="9" ht="18.0" customHeight="1">
      <c r="A9" s="58" t="s">
        <v>127</v>
      </c>
      <c r="B9" s="59">
        <f>SUM(Gemini_CoT!H3:H32)</f>
        <v>4</v>
      </c>
      <c r="C9" s="59">
        <f>SUM(Gemini_CoT!N3:N32)</f>
        <v>4</v>
      </c>
      <c r="D9" s="59">
        <f>SUM(Gemini_CoT!T3:T32)</f>
        <v>5</v>
      </c>
      <c r="E9" s="59">
        <f>SUM(Gemini_CoT!Z3:Z32)</f>
        <v>6</v>
      </c>
      <c r="F9" s="59">
        <f>SUM(Gemini_CoT!AF3:AF32)</f>
        <v>2</v>
      </c>
      <c r="G9" s="59">
        <f>SUM(Gemini_CoT!AL3:AL32)</f>
        <v>5</v>
      </c>
      <c r="H9" s="60">
        <f>SUM(Gemini_CoT!AM3:AM32)</f>
        <v>26</v>
      </c>
      <c r="I9" s="61">
        <f>IFERROR(H9/H3,"-")</f>
        <v>0.2015503876</v>
      </c>
    </row>
    <row r="10" ht="18.0" customHeight="1">
      <c r="A10" s="54" t="s">
        <v>128</v>
      </c>
      <c r="B10" s="55">
        <f>SUM(Claude_ZeroShot!H3:H32)</f>
        <v>4</v>
      </c>
      <c r="C10" s="55">
        <f>SUM(Claude_ZeroShot!N3:N32)</f>
        <v>7</v>
      </c>
      <c r="D10" s="55">
        <f>SUM(Claude_ZeroShot!T3:T32)</f>
        <v>19</v>
      </c>
      <c r="E10" s="55">
        <f>SUM(Claude_ZeroShot!Z3:Z32)</f>
        <v>24</v>
      </c>
      <c r="F10" s="55">
        <f>SUM(Claude_ZeroShot!AF3:AF32)</f>
        <v>6</v>
      </c>
      <c r="G10" s="55">
        <f>SUM(Claude_ZeroShot!AL3:AL32)</f>
        <v>107</v>
      </c>
      <c r="H10" s="56">
        <f>SUM(Claude_ZeroShot!AM3:AM32)</f>
        <v>167</v>
      </c>
      <c r="I10" s="57">
        <f>IFERROR(H10/H3,"-")</f>
        <v>1.294573643</v>
      </c>
    </row>
    <row r="11" ht="18.0" customHeight="1">
      <c r="A11" s="58" t="s">
        <v>129</v>
      </c>
      <c r="B11" s="59">
        <f>SUM(Claude_FewShot!H3:H32)</f>
        <v>5</v>
      </c>
      <c r="C11" s="59">
        <f>SUM(Claude_FewShot!N3:N32)</f>
        <v>9</v>
      </c>
      <c r="D11" s="59">
        <f>SUM(Claude_FewShot!T3:T32)</f>
        <v>7</v>
      </c>
      <c r="E11" s="59">
        <f>SUM(Claude_FewShot!Z3:Z32)</f>
        <v>5</v>
      </c>
      <c r="F11" s="59">
        <f>SUM(Claude_FewShot!AF3:AF32)</f>
        <v>2</v>
      </c>
      <c r="G11" s="59">
        <f>SUM(Claude_FewShot!AL3:AL32)</f>
        <v>11</v>
      </c>
      <c r="H11" s="60">
        <f>SUM(Claude_FewShot!AM3:AM32)</f>
        <v>39</v>
      </c>
      <c r="I11" s="61">
        <f>IFERROR(H11/H3,"-")</f>
        <v>0.3023255814</v>
      </c>
    </row>
    <row r="12" ht="18.0" customHeight="1">
      <c r="A12" s="54" t="s">
        <v>130</v>
      </c>
      <c r="B12" s="55">
        <f>SUM(Claude_CoT!H3:H32)</f>
        <v>5</v>
      </c>
      <c r="C12" s="55">
        <f>SUM(Claude_CoT!N3:N32)</f>
        <v>8</v>
      </c>
      <c r="D12" s="55">
        <f>SUM(Claude_CoT!T3:T32)</f>
        <v>12</v>
      </c>
      <c r="E12" s="55">
        <f>SUM(Claude_CoT!Z3:Z32)</f>
        <v>12</v>
      </c>
      <c r="F12" s="55">
        <f>SUM(Claude_CoT!AF3:AF32)</f>
        <v>2</v>
      </c>
      <c r="G12" s="55">
        <f>SUM(Claude_CoT!AL3:AL32)</f>
        <v>21</v>
      </c>
      <c r="H12" s="56">
        <f>SUM(Claude_CoT!AM3:AM32)</f>
        <v>60</v>
      </c>
      <c r="I12" s="57">
        <f>IFERROR(H12/H3,"-")</f>
        <v>0.4651162791</v>
      </c>
    </row>
    <row r="13">
      <c r="A13" s="36"/>
      <c r="B13" s="36"/>
      <c r="C13" s="36"/>
      <c r="D13" s="36"/>
      <c r="E13" s="36"/>
      <c r="F13" s="36"/>
      <c r="G13" s="36"/>
      <c r="H13" s="36"/>
      <c r="I13" s="36"/>
    </row>
    <row r="14" ht="7.5" customHeight="1">
      <c r="A14" s="36"/>
      <c r="B14" s="36"/>
      <c r="C14" s="36"/>
      <c r="D14" s="36"/>
      <c r="E14" s="36"/>
      <c r="F14" s="36"/>
      <c r="G14" s="36"/>
      <c r="H14" s="36"/>
      <c r="I14" s="36"/>
    </row>
    <row r="15" ht="25.5" customHeight="1">
      <c r="A15" s="62" t="s">
        <v>131</v>
      </c>
      <c r="B15" s="2"/>
      <c r="C15" s="2"/>
      <c r="D15" s="2"/>
      <c r="E15" s="2"/>
      <c r="F15" s="2"/>
      <c r="G15" s="2"/>
      <c r="H15" s="2"/>
      <c r="I15" s="3"/>
    </row>
    <row r="16" ht="25.5" customHeight="1">
      <c r="A16" s="38" t="s">
        <v>132</v>
      </c>
      <c r="B16" s="39" t="s">
        <v>133</v>
      </c>
      <c r="C16" s="40" t="s">
        <v>134</v>
      </c>
      <c r="D16" s="41" t="s">
        <v>135</v>
      </c>
      <c r="E16" s="42" t="s">
        <v>136</v>
      </c>
      <c r="F16" s="43" t="s">
        <v>137</v>
      </c>
      <c r="G16" s="44" t="s">
        <v>138</v>
      </c>
      <c r="H16" s="38" t="s">
        <v>139</v>
      </c>
      <c r="I16" s="38" t="s">
        <v>140</v>
      </c>
    </row>
    <row r="17" ht="15.75" customHeight="1">
      <c r="A17" s="63" t="s">
        <v>141</v>
      </c>
      <c r="B17" s="64">
        <f>Avaliacao_Humana!H3</f>
        <v>0</v>
      </c>
      <c r="C17" s="64">
        <f>Avaliacao_Humana!N3</f>
        <v>2</v>
      </c>
      <c r="D17" s="64">
        <f>Avaliacao_Humana!T3</f>
        <v>0</v>
      </c>
      <c r="E17" s="64">
        <f>Avaliacao_Humana!Z3</f>
        <v>0</v>
      </c>
      <c r="F17" s="64">
        <f>Avaliacao_Humana!AF3</f>
        <v>0</v>
      </c>
      <c r="G17" s="64">
        <f>Avaliacao_Humana!AL3</f>
        <v>3</v>
      </c>
      <c r="H17" s="65">
        <f>Avaliacao_Humana!AM3</f>
        <v>5</v>
      </c>
      <c r="I17" s="64" t="str">
        <f>Avaliacao_Humana!AN3</f>
        <v>Atenção</v>
      </c>
    </row>
    <row r="18" ht="15.75" customHeight="1">
      <c r="A18" s="66" t="s">
        <v>142</v>
      </c>
      <c r="B18" s="67">
        <f>Avaliacao_Humana!H4</f>
        <v>0</v>
      </c>
      <c r="C18" s="67">
        <f>Avaliacao_Humana!N4</f>
        <v>1</v>
      </c>
      <c r="D18" s="67">
        <f>Avaliacao_Humana!T4</f>
        <v>0</v>
      </c>
      <c r="E18" s="67">
        <f>Avaliacao_Humana!Z4</f>
        <v>0</v>
      </c>
      <c r="F18" s="67">
        <f>Avaliacao_Humana!AF4</f>
        <v>0</v>
      </c>
      <c r="G18" s="67">
        <f>Avaliacao_Humana!AL4</f>
        <v>2</v>
      </c>
      <c r="H18" s="68">
        <f>Avaliacao_Humana!AM4</f>
        <v>3</v>
      </c>
      <c r="I18" s="67" t="str">
        <f>Avaliacao_Humana!AN4</f>
        <v>Atenção</v>
      </c>
    </row>
    <row r="19" ht="15.75" customHeight="1">
      <c r="A19" s="63" t="s">
        <v>143</v>
      </c>
      <c r="B19" s="64">
        <f>Avaliacao_Humana!H5</f>
        <v>1</v>
      </c>
      <c r="C19" s="64">
        <f>Avaliacao_Humana!N5</f>
        <v>0</v>
      </c>
      <c r="D19" s="64">
        <f>Avaliacao_Humana!T5</f>
        <v>0</v>
      </c>
      <c r="E19" s="64">
        <f>Avaliacao_Humana!Z5</f>
        <v>0</v>
      </c>
      <c r="F19" s="64">
        <f>Avaliacao_Humana!AF5</f>
        <v>0</v>
      </c>
      <c r="G19" s="64">
        <f>Avaliacao_Humana!AL5</f>
        <v>3</v>
      </c>
      <c r="H19" s="65">
        <f>Avaliacao_Humana!AM5</f>
        <v>4</v>
      </c>
      <c r="I19" s="64" t="str">
        <f>Avaliacao_Humana!AN5</f>
        <v>Atenção</v>
      </c>
    </row>
    <row r="20" ht="15.75" customHeight="1">
      <c r="A20" s="66" t="s">
        <v>144</v>
      </c>
      <c r="B20" s="67">
        <f>Avaliacao_Humana!H6</f>
        <v>0</v>
      </c>
      <c r="C20" s="67">
        <f>Avaliacao_Humana!N6</f>
        <v>0</v>
      </c>
      <c r="D20" s="67">
        <f>Avaliacao_Humana!T6</f>
        <v>2</v>
      </c>
      <c r="E20" s="67">
        <f>Avaliacao_Humana!Z6</f>
        <v>1</v>
      </c>
      <c r="F20" s="67">
        <f>Avaliacao_Humana!AF6</f>
        <v>0</v>
      </c>
      <c r="G20" s="67">
        <f>Avaliacao_Humana!AL6</f>
        <v>2</v>
      </c>
      <c r="H20" s="68">
        <f>Avaliacao_Humana!AM6</f>
        <v>5</v>
      </c>
      <c r="I20" s="67" t="str">
        <f>Avaliacao_Humana!AN6</f>
        <v>Atenção</v>
      </c>
    </row>
    <row r="21" ht="15.75" customHeight="1">
      <c r="A21" s="63" t="s">
        <v>145</v>
      </c>
      <c r="B21" s="64">
        <f>Avaliacao_Humana!H7</f>
        <v>1</v>
      </c>
      <c r="C21" s="64">
        <f>Avaliacao_Humana!N7</f>
        <v>2</v>
      </c>
      <c r="D21" s="64">
        <f>Avaliacao_Humana!T7</f>
        <v>1</v>
      </c>
      <c r="E21" s="64">
        <f>Avaliacao_Humana!Z7</f>
        <v>1</v>
      </c>
      <c r="F21" s="64">
        <f>Avaliacao_Humana!AF7</f>
        <v>0</v>
      </c>
      <c r="G21" s="64">
        <f>Avaliacao_Humana!AL7</f>
        <v>3</v>
      </c>
      <c r="H21" s="65">
        <f>Avaliacao_Humana!AM7</f>
        <v>8</v>
      </c>
      <c r="I21" s="64" t="str">
        <f>Avaliacao_Humana!AN7</f>
        <v>Atenção</v>
      </c>
    </row>
    <row r="22" ht="15.75" customHeight="1">
      <c r="A22" s="66" t="s">
        <v>146</v>
      </c>
      <c r="B22" s="67">
        <f>Avaliacao_Humana!H8</f>
        <v>0</v>
      </c>
      <c r="C22" s="67">
        <f>Avaliacao_Humana!N8</f>
        <v>0</v>
      </c>
      <c r="D22" s="67">
        <f>Avaliacao_Humana!T8</f>
        <v>0</v>
      </c>
      <c r="E22" s="67">
        <f>Avaliacao_Humana!Z8</f>
        <v>3</v>
      </c>
      <c r="F22" s="67">
        <f>Avaliacao_Humana!AF8</f>
        <v>0</v>
      </c>
      <c r="G22" s="67">
        <f>Avaliacao_Humana!AL8</f>
        <v>2</v>
      </c>
      <c r="H22" s="68">
        <f>Avaliacao_Humana!AM8</f>
        <v>5</v>
      </c>
      <c r="I22" s="67" t="str">
        <f>Avaliacao_Humana!AN8</f>
        <v>Atenção</v>
      </c>
    </row>
    <row r="23" ht="15.75" customHeight="1">
      <c r="A23" s="63" t="s">
        <v>147</v>
      </c>
      <c r="B23" s="64">
        <f>Avaliacao_Humana!H9</f>
        <v>1</v>
      </c>
      <c r="C23" s="64">
        <f>Avaliacao_Humana!N9</f>
        <v>0</v>
      </c>
      <c r="D23" s="64">
        <f>Avaliacao_Humana!T9</f>
        <v>1</v>
      </c>
      <c r="E23" s="64">
        <f>Avaliacao_Humana!Z9</f>
        <v>0</v>
      </c>
      <c r="F23" s="64">
        <f>Avaliacao_Humana!AF9</f>
        <v>0</v>
      </c>
      <c r="G23" s="64">
        <f>Avaliacao_Humana!AL9</f>
        <v>2</v>
      </c>
      <c r="H23" s="65">
        <f>Avaliacao_Humana!AM9</f>
        <v>4</v>
      </c>
      <c r="I23" s="64" t="str">
        <f>Avaliacao_Humana!AN9</f>
        <v>Atenção</v>
      </c>
    </row>
    <row r="24" ht="15.75" customHeight="1">
      <c r="A24" s="66" t="s">
        <v>148</v>
      </c>
      <c r="B24" s="67">
        <f>Avaliacao_Humana!H10</f>
        <v>0</v>
      </c>
      <c r="C24" s="67">
        <f>Avaliacao_Humana!N10</f>
        <v>0</v>
      </c>
      <c r="D24" s="67">
        <f>Avaliacao_Humana!T10</f>
        <v>1</v>
      </c>
      <c r="E24" s="67">
        <f>Avaliacao_Humana!Z10</f>
        <v>0</v>
      </c>
      <c r="F24" s="67">
        <f>Avaliacao_Humana!AF10</f>
        <v>0</v>
      </c>
      <c r="G24" s="67">
        <f>Avaliacao_Humana!AL10</f>
        <v>2</v>
      </c>
      <c r="H24" s="68">
        <f>Avaliacao_Humana!AM10</f>
        <v>3</v>
      </c>
      <c r="I24" s="67" t="str">
        <f>Avaliacao_Humana!AN10</f>
        <v>Atenção</v>
      </c>
    </row>
    <row r="25" ht="15.75" customHeight="1">
      <c r="A25" s="63" t="s">
        <v>149</v>
      </c>
      <c r="B25" s="64">
        <f>Avaliacao_Humana!H11</f>
        <v>2</v>
      </c>
      <c r="C25" s="64">
        <f>Avaliacao_Humana!N11</f>
        <v>0</v>
      </c>
      <c r="D25" s="64">
        <f>Avaliacao_Humana!T11</f>
        <v>1</v>
      </c>
      <c r="E25" s="64">
        <f>Avaliacao_Humana!Z11</f>
        <v>1</v>
      </c>
      <c r="F25" s="64">
        <f>Avaliacao_Humana!AF11</f>
        <v>0</v>
      </c>
      <c r="G25" s="64">
        <f>Avaliacao_Humana!AL11</f>
        <v>2</v>
      </c>
      <c r="H25" s="65">
        <f>Avaliacao_Humana!AM11</f>
        <v>6</v>
      </c>
      <c r="I25" s="64" t="str">
        <f>Avaliacao_Humana!AN11</f>
        <v>Atenção</v>
      </c>
    </row>
    <row r="26" ht="15.75" customHeight="1">
      <c r="A26" s="66" t="s">
        <v>150</v>
      </c>
      <c r="B26" s="67">
        <f>Avaliacao_Humana!H12</f>
        <v>0</v>
      </c>
      <c r="C26" s="67">
        <f>Avaliacao_Humana!N12</f>
        <v>1</v>
      </c>
      <c r="D26" s="67">
        <f>Avaliacao_Humana!T12</f>
        <v>1</v>
      </c>
      <c r="E26" s="67">
        <f>Avaliacao_Humana!Z12</f>
        <v>1</v>
      </c>
      <c r="F26" s="67">
        <f>Avaliacao_Humana!AF12</f>
        <v>0</v>
      </c>
      <c r="G26" s="67">
        <f>Avaliacao_Humana!AL12</f>
        <v>2</v>
      </c>
      <c r="H26" s="68">
        <f>Avaliacao_Humana!AM12</f>
        <v>5</v>
      </c>
      <c r="I26" s="67" t="str">
        <f>Avaliacao_Humana!AN12</f>
        <v>Atenção</v>
      </c>
    </row>
    <row r="27" ht="15.75" customHeight="1">
      <c r="A27" s="63" t="s">
        <v>151</v>
      </c>
      <c r="B27" s="64">
        <f>Avaliacao_Humana!H13</f>
        <v>0</v>
      </c>
      <c r="C27" s="64">
        <f>Avaliacao_Humana!N13</f>
        <v>0</v>
      </c>
      <c r="D27" s="64">
        <f>Avaliacao_Humana!T13</f>
        <v>0</v>
      </c>
      <c r="E27" s="64">
        <f>Avaliacao_Humana!Z13</f>
        <v>1</v>
      </c>
      <c r="F27" s="64">
        <f>Avaliacao_Humana!AF13</f>
        <v>1</v>
      </c>
      <c r="G27" s="64">
        <f>Avaliacao_Humana!AL13</f>
        <v>4</v>
      </c>
      <c r="H27" s="65">
        <f>Avaliacao_Humana!AM13</f>
        <v>6</v>
      </c>
      <c r="I27" s="64" t="str">
        <f>Avaliacao_Humana!AN13</f>
        <v>Atenção</v>
      </c>
    </row>
    <row r="28" ht="15.75" customHeight="1">
      <c r="A28" s="66" t="s">
        <v>152</v>
      </c>
      <c r="B28" s="67">
        <f>Avaliacao_Humana!H14</f>
        <v>0</v>
      </c>
      <c r="C28" s="67">
        <f>Avaliacao_Humana!N14</f>
        <v>0</v>
      </c>
      <c r="D28" s="67">
        <f>Avaliacao_Humana!T14</f>
        <v>0</v>
      </c>
      <c r="E28" s="67">
        <f>Avaliacao_Humana!Z14</f>
        <v>0</v>
      </c>
      <c r="F28" s="67">
        <f>Avaliacao_Humana!AF14</f>
        <v>0</v>
      </c>
      <c r="G28" s="67">
        <f>Avaliacao_Humana!AL14</f>
        <v>3</v>
      </c>
      <c r="H28" s="68">
        <f>Avaliacao_Humana!AM14</f>
        <v>3</v>
      </c>
      <c r="I28" s="67" t="str">
        <f>Avaliacao_Humana!AN14</f>
        <v>Atenção</v>
      </c>
    </row>
    <row r="29" ht="15.75" customHeight="1">
      <c r="A29" s="63" t="s">
        <v>153</v>
      </c>
      <c r="B29" s="64">
        <f>Avaliacao_Humana!H15</f>
        <v>0</v>
      </c>
      <c r="C29" s="64">
        <f>Avaliacao_Humana!N15</f>
        <v>0</v>
      </c>
      <c r="D29" s="64">
        <f>Avaliacao_Humana!T15</f>
        <v>0</v>
      </c>
      <c r="E29" s="64">
        <f>Avaliacao_Humana!Z15</f>
        <v>0</v>
      </c>
      <c r="F29" s="64">
        <f>Avaliacao_Humana!AF15</f>
        <v>2</v>
      </c>
      <c r="G29" s="64">
        <f>Avaliacao_Humana!AL15</f>
        <v>2</v>
      </c>
      <c r="H29" s="65">
        <f>Avaliacao_Humana!AM15</f>
        <v>4</v>
      </c>
      <c r="I29" s="64" t="str">
        <f>Avaliacao_Humana!AN15</f>
        <v>Atenção</v>
      </c>
    </row>
    <row r="30" ht="15.75" customHeight="1">
      <c r="A30" s="66" t="s">
        <v>154</v>
      </c>
      <c r="B30" s="67">
        <f>Avaliacao_Humana!H16</f>
        <v>0</v>
      </c>
      <c r="C30" s="67">
        <f>Avaliacao_Humana!N16</f>
        <v>0</v>
      </c>
      <c r="D30" s="67">
        <f>Avaliacao_Humana!T16</f>
        <v>0</v>
      </c>
      <c r="E30" s="67">
        <f>Avaliacao_Humana!Z16</f>
        <v>0</v>
      </c>
      <c r="F30" s="67">
        <f>Avaliacao_Humana!AF16</f>
        <v>2</v>
      </c>
      <c r="G30" s="67">
        <f>Avaliacao_Humana!AL16</f>
        <v>2</v>
      </c>
      <c r="H30" s="68">
        <f>Avaliacao_Humana!AM16</f>
        <v>4</v>
      </c>
      <c r="I30" s="67" t="str">
        <f>Avaliacao_Humana!AN16</f>
        <v>Atenção</v>
      </c>
    </row>
    <row r="31" ht="15.75" customHeight="1">
      <c r="A31" s="63" t="s">
        <v>155</v>
      </c>
      <c r="B31" s="64">
        <f>Avaliacao_Humana!H17</f>
        <v>0</v>
      </c>
      <c r="C31" s="64">
        <f>Avaliacao_Humana!N17</f>
        <v>0</v>
      </c>
      <c r="D31" s="64">
        <f>Avaliacao_Humana!T17</f>
        <v>0</v>
      </c>
      <c r="E31" s="64">
        <f>Avaliacao_Humana!Z17</f>
        <v>1</v>
      </c>
      <c r="F31" s="64">
        <f>Avaliacao_Humana!AF17</f>
        <v>0</v>
      </c>
      <c r="G31" s="64">
        <f>Avaliacao_Humana!AL17</f>
        <v>3</v>
      </c>
      <c r="H31" s="65">
        <f>Avaliacao_Humana!AM17</f>
        <v>4</v>
      </c>
      <c r="I31" s="64" t="str">
        <f>Avaliacao_Humana!AN17</f>
        <v>Atenção</v>
      </c>
    </row>
    <row r="32" ht="15.75" customHeight="1">
      <c r="A32" s="66" t="s">
        <v>156</v>
      </c>
      <c r="B32" s="67">
        <f>Avaliacao_Humana!H18</f>
        <v>0</v>
      </c>
      <c r="C32" s="67">
        <f>Avaliacao_Humana!N18</f>
        <v>1</v>
      </c>
      <c r="D32" s="67">
        <f>Avaliacao_Humana!T18</f>
        <v>2</v>
      </c>
      <c r="E32" s="67">
        <f>Avaliacao_Humana!Z18</f>
        <v>0</v>
      </c>
      <c r="F32" s="67">
        <f>Avaliacao_Humana!AF18</f>
        <v>0</v>
      </c>
      <c r="G32" s="67">
        <f>Avaliacao_Humana!AL18</f>
        <v>2</v>
      </c>
      <c r="H32" s="68">
        <f>Avaliacao_Humana!AM18</f>
        <v>5</v>
      </c>
      <c r="I32" s="67" t="str">
        <f>Avaliacao_Humana!AN18</f>
        <v>Atenção</v>
      </c>
    </row>
    <row r="33" ht="15.75" customHeight="1">
      <c r="A33" s="63" t="s">
        <v>157</v>
      </c>
      <c r="B33" s="64">
        <f>Avaliacao_Humana!H19</f>
        <v>0</v>
      </c>
      <c r="C33" s="64">
        <f>Avaliacao_Humana!N19</f>
        <v>0</v>
      </c>
      <c r="D33" s="64">
        <f>Avaliacao_Humana!T19</f>
        <v>0</v>
      </c>
      <c r="E33" s="64">
        <f>Avaliacao_Humana!Z19</f>
        <v>0</v>
      </c>
      <c r="F33" s="64">
        <f>Avaliacao_Humana!AF19</f>
        <v>1</v>
      </c>
      <c r="G33" s="64">
        <f>Avaliacao_Humana!AL19</f>
        <v>3</v>
      </c>
      <c r="H33" s="65">
        <f>Avaliacao_Humana!AM19</f>
        <v>4</v>
      </c>
      <c r="I33" s="64" t="str">
        <f>Avaliacao_Humana!AN19</f>
        <v>Atenção</v>
      </c>
    </row>
    <row r="34" ht="15.75" customHeight="1">
      <c r="A34" s="66" t="s">
        <v>158</v>
      </c>
      <c r="B34" s="67">
        <f>Avaliacao_Humana!H20</f>
        <v>1</v>
      </c>
      <c r="C34" s="67">
        <f>Avaliacao_Humana!N20</f>
        <v>0</v>
      </c>
      <c r="D34" s="67">
        <f>Avaliacao_Humana!T20</f>
        <v>1</v>
      </c>
      <c r="E34" s="67">
        <f>Avaliacao_Humana!Z20</f>
        <v>0</v>
      </c>
      <c r="F34" s="67">
        <f>Avaliacao_Humana!AF20</f>
        <v>0</v>
      </c>
      <c r="G34" s="67">
        <f>Avaliacao_Humana!AL20</f>
        <v>3</v>
      </c>
      <c r="H34" s="68">
        <f>Avaliacao_Humana!AM20</f>
        <v>5</v>
      </c>
      <c r="I34" s="67" t="str">
        <f>Avaliacao_Humana!AN20</f>
        <v>Atenção</v>
      </c>
    </row>
    <row r="35" ht="15.75" customHeight="1">
      <c r="A35" s="63" t="s">
        <v>159</v>
      </c>
      <c r="B35" s="64">
        <f>Avaliacao_Humana!H21</f>
        <v>0</v>
      </c>
      <c r="C35" s="64">
        <f>Avaliacao_Humana!N21</f>
        <v>2</v>
      </c>
      <c r="D35" s="64">
        <f>Avaliacao_Humana!T21</f>
        <v>1</v>
      </c>
      <c r="E35" s="64">
        <f>Avaliacao_Humana!Z21</f>
        <v>2</v>
      </c>
      <c r="F35" s="64">
        <f>Avaliacao_Humana!AF21</f>
        <v>0</v>
      </c>
      <c r="G35" s="64">
        <f>Avaliacao_Humana!AL21</f>
        <v>2</v>
      </c>
      <c r="H35" s="65">
        <f>Avaliacao_Humana!AM21</f>
        <v>7</v>
      </c>
      <c r="I35" s="64" t="str">
        <f>Avaliacao_Humana!AN21</f>
        <v>Atenção</v>
      </c>
    </row>
    <row r="36" ht="15.75" customHeight="1">
      <c r="A36" s="66" t="s">
        <v>160</v>
      </c>
      <c r="B36" s="67">
        <f>Avaliacao_Humana!H22</f>
        <v>0</v>
      </c>
      <c r="C36" s="67">
        <f>Avaliacao_Humana!N22</f>
        <v>2</v>
      </c>
      <c r="D36" s="67">
        <f>Avaliacao_Humana!T22</f>
        <v>1</v>
      </c>
      <c r="E36" s="67">
        <f>Avaliacao_Humana!Z22</f>
        <v>0</v>
      </c>
      <c r="F36" s="67">
        <f>Avaliacao_Humana!AF22</f>
        <v>0</v>
      </c>
      <c r="G36" s="67">
        <f>Avaliacao_Humana!AL22</f>
        <v>1</v>
      </c>
      <c r="H36" s="68">
        <f>Avaliacao_Humana!AM22</f>
        <v>4</v>
      </c>
      <c r="I36" s="67" t="str">
        <f>Avaliacao_Humana!AN22</f>
        <v>Atenção</v>
      </c>
    </row>
    <row r="37" ht="15.75" customHeight="1">
      <c r="A37" s="63" t="s">
        <v>161</v>
      </c>
      <c r="B37" s="64">
        <f>Avaliacao_Humana!H23</f>
        <v>0</v>
      </c>
      <c r="C37" s="64">
        <f>Avaliacao_Humana!N23</f>
        <v>0</v>
      </c>
      <c r="D37" s="64">
        <f>Avaliacao_Humana!T23</f>
        <v>0</v>
      </c>
      <c r="E37" s="64">
        <f>Avaliacao_Humana!Z23</f>
        <v>0</v>
      </c>
      <c r="F37" s="64">
        <f>Avaliacao_Humana!AF23</f>
        <v>0</v>
      </c>
      <c r="G37" s="64">
        <f>Avaliacao_Humana!AL23</f>
        <v>3</v>
      </c>
      <c r="H37" s="65">
        <f>Avaliacao_Humana!AM23</f>
        <v>3</v>
      </c>
      <c r="I37" s="64" t="str">
        <f>Avaliacao_Humana!AN23</f>
        <v>Atenção</v>
      </c>
    </row>
    <row r="38" ht="15.75" customHeight="1">
      <c r="A38" s="66" t="s">
        <v>162</v>
      </c>
      <c r="B38" s="67">
        <f>Avaliacao_Humana!H24</f>
        <v>0</v>
      </c>
      <c r="C38" s="67">
        <f>Avaliacao_Humana!N24</f>
        <v>0</v>
      </c>
      <c r="D38" s="67">
        <f>Avaliacao_Humana!T24</f>
        <v>0</v>
      </c>
      <c r="E38" s="67">
        <f>Avaliacao_Humana!Z24</f>
        <v>0</v>
      </c>
      <c r="F38" s="67">
        <f>Avaliacao_Humana!AF24</f>
        <v>0</v>
      </c>
      <c r="G38" s="67">
        <f>Avaliacao_Humana!AL24</f>
        <v>3</v>
      </c>
      <c r="H38" s="68">
        <f>Avaliacao_Humana!AM24</f>
        <v>3</v>
      </c>
      <c r="I38" s="67" t="str">
        <f>Avaliacao_Humana!AN24</f>
        <v>Atenção</v>
      </c>
    </row>
    <row r="39" ht="15.75" customHeight="1">
      <c r="A39" s="63" t="s">
        <v>163</v>
      </c>
      <c r="B39" s="64">
        <f>Avaliacao_Humana!H25</f>
        <v>0</v>
      </c>
      <c r="C39" s="64">
        <f>Avaliacao_Humana!N25</f>
        <v>0</v>
      </c>
      <c r="D39" s="64">
        <f>Avaliacao_Humana!T25</f>
        <v>0</v>
      </c>
      <c r="E39" s="64">
        <f>Avaliacao_Humana!Z25</f>
        <v>0</v>
      </c>
      <c r="F39" s="64">
        <f>Avaliacao_Humana!AF25</f>
        <v>0</v>
      </c>
      <c r="G39" s="64">
        <f>Avaliacao_Humana!AL25</f>
        <v>2</v>
      </c>
      <c r="H39" s="65">
        <f>Avaliacao_Humana!AM25</f>
        <v>2</v>
      </c>
      <c r="I39" s="64" t="str">
        <f>Avaliacao_Humana!AN25</f>
        <v>Atenção</v>
      </c>
    </row>
    <row r="40" ht="15.75" customHeight="1">
      <c r="A40" s="66" t="s">
        <v>164</v>
      </c>
      <c r="B40" s="67">
        <f>Avaliacao_Humana!H26</f>
        <v>0</v>
      </c>
      <c r="C40" s="67">
        <f>Avaliacao_Humana!N26</f>
        <v>0</v>
      </c>
      <c r="D40" s="67">
        <f>Avaliacao_Humana!T26</f>
        <v>0</v>
      </c>
      <c r="E40" s="67">
        <f>Avaliacao_Humana!Z26</f>
        <v>0</v>
      </c>
      <c r="F40" s="67">
        <f>Avaliacao_Humana!AF26</f>
        <v>0</v>
      </c>
      <c r="G40" s="67">
        <f>Avaliacao_Humana!AL26</f>
        <v>2</v>
      </c>
      <c r="H40" s="68">
        <f>Avaliacao_Humana!AM26</f>
        <v>2</v>
      </c>
      <c r="I40" s="67" t="str">
        <f>Avaliacao_Humana!AN26</f>
        <v>Atenção</v>
      </c>
    </row>
    <row r="41" ht="15.75" customHeight="1">
      <c r="A41" s="63" t="s">
        <v>165</v>
      </c>
      <c r="B41" s="64">
        <f>Avaliacao_Humana!H27</f>
        <v>0</v>
      </c>
      <c r="C41" s="64">
        <f>Avaliacao_Humana!N27</f>
        <v>1</v>
      </c>
      <c r="D41" s="64">
        <f>Avaliacao_Humana!T27</f>
        <v>0</v>
      </c>
      <c r="E41" s="64">
        <f>Avaliacao_Humana!Z27</f>
        <v>0</v>
      </c>
      <c r="F41" s="64">
        <f>Avaliacao_Humana!AF27</f>
        <v>0</v>
      </c>
      <c r="G41" s="64">
        <f>Avaliacao_Humana!AL27</f>
        <v>3</v>
      </c>
      <c r="H41" s="65">
        <f>Avaliacao_Humana!AM27</f>
        <v>4</v>
      </c>
      <c r="I41" s="64" t="str">
        <f>Avaliacao_Humana!AN27</f>
        <v>Atenção</v>
      </c>
    </row>
    <row r="42" ht="15.75" customHeight="1">
      <c r="A42" s="66" t="s">
        <v>166</v>
      </c>
      <c r="B42" s="67">
        <f>Avaliacao_Humana!H28</f>
        <v>0</v>
      </c>
      <c r="C42" s="67">
        <f>Avaliacao_Humana!N28</f>
        <v>1</v>
      </c>
      <c r="D42" s="67">
        <f>Avaliacao_Humana!T28</f>
        <v>0</v>
      </c>
      <c r="E42" s="67">
        <f>Avaliacao_Humana!Z28</f>
        <v>1</v>
      </c>
      <c r="F42" s="67">
        <f>Avaliacao_Humana!AF28</f>
        <v>0</v>
      </c>
      <c r="G42" s="67">
        <f>Avaliacao_Humana!AL28</f>
        <v>1</v>
      </c>
      <c r="H42" s="68">
        <f>Avaliacao_Humana!AM28</f>
        <v>3</v>
      </c>
      <c r="I42" s="67" t="str">
        <f>Avaliacao_Humana!AN28</f>
        <v>Atenção</v>
      </c>
    </row>
    <row r="43" ht="15.75" customHeight="1">
      <c r="A43" s="63" t="s">
        <v>167</v>
      </c>
      <c r="B43" s="64">
        <f>Avaliacao_Humana!H29</f>
        <v>1</v>
      </c>
      <c r="C43" s="64">
        <f>Avaliacao_Humana!N29</f>
        <v>0</v>
      </c>
      <c r="D43" s="64">
        <f>Avaliacao_Humana!T29</f>
        <v>0</v>
      </c>
      <c r="E43" s="64">
        <f>Avaliacao_Humana!Z29</f>
        <v>1</v>
      </c>
      <c r="F43" s="64">
        <f>Avaliacao_Humana!AF29</f>
        <v>0</v>
      </c>
      <c r="G43" s="64">
        <f>Avaliacao_Humana!AL29</f>
        <v>2</v>
      </c>
      <c r="H43" s="65">
        <f>Avaliacao_Humana!AM29</f>
        <v>4</v>
      </c>
      <c r="I43" s="64" t="str">
        <f>Avaliacao_Humana!AN29</f>
        <v>Atenção</v>
      </c>
    </row>
    <row r="44" ht="15.75" customHeight="1">
      <c r="A44" s="66" t="s">
        <v>168</v>
      </c>
      <c r="B44" s="67">
        <f>Avaliacao_Humana!H30</f>
        <v>0</v>
      </c>
      <c r="C44" s="67">
        <f>Avaliacao_Humana!N30</f>
        <v>1</v>
      </c>
      <c r="D44" s="67">
        <f>Avaliacao_Humana!T30</f>
        <v>1</v>
      </c>
      <c r="E44" s="67">
        <f>Avaliacao_Humana!Z30</f>
        <v>0</v>
      </c>
      <c r="F44" s="67">
        <f>Avaliacao_Humana!AF30</f>
        <v>0</v>
      </c>
      <c r="G44" s="67">
        <f>Avaliacao_Humana!AL30</f>
        <v>2</v>
      </c>
      <c r="H44" s="68">
        <f>Avaliacao_Humana!AM30</f>
        <v>4</v>
      </c>
      <c r="I44" s="67" t="str">
        <f>Avaliacao_Humana!AN30</f>
        <v>Atenção</v>
      </c>
    </row>
    <row r="45" ht="15.75" customHeight="1">
      <c r="A45" s="63" t="s">
        <v>169</v>
      </c>
      <c r="B45" s="64">
        <f>Avaliacao_Humana!H31</f>
        <v>0</v>
      </c>
      <c r="C45" s="64">
        <f>Avaliacao_Humana!N31</f>
        <v>1</v>
      </c>
      <c r="D45" s="64">
        <f>Avaliacao_Humana!T31</f>
        <v>2</v>
      </c>
      <c r="E45" s="64">
        <f>Avaliacao_Humana!Z31</f>
        <v>1</v>
      </c>
      <c r="F45" s="64">
        <f>Avaliacao_Humana!AF31</f>
        <v>0</v>
      </c>
      <c r="G45" s="64">
        <f>Avaliacao_Humana!AL31</f>
        <v>1</v>
      </c>
      <c r="H45" s="65">
        <f>Avaliacao_Humana!AM31</f>
        <v>5</v>
      </c>
      <c r="I45" s="64" t="str">
        <f>Avaliacao_Humana!AN31</f>
        <v>Atenção</v>
      </c>
    </row>
    <row r="46" ht="15.75" customHeight="1">
      <c r="A46" s="66" t="s">
        <v>170</v>
      </c>
      <c r="B46" s="67">
        <f>Avaliacao_Humana!H32</f>
        <v>0</v>
      </c>
      <c r="C46" s="67">
        <f>Avaliacao_Humana!N32</f>
        <v>0</v>
      </c>
      <c r="D46" s="67">
        <f>Avaliacao_Humana!T32</f>
        <v>1</v>
      </c>
      <c r="E46" s="67">
        <f>Avaliacao_Humana!Z32</f>
        <v>2</v>
      </c>
      <c r="F46" s="67">
        <f>Avaliacao_Humana!AF32</f>
        <v>0</v>
      </c>
      <c r="G46" s="67">
        <f>Avaliacao_Humana!AL32</f>
        <v>2</v>
      </c>
      <c r="H46" s="68">
        <f>Avaliacao_Humana!AM32</f>
        <v>5</v>
      </c>
      <c r="I46" s="67" t="str">
        <f>Avaliacao_Humana!AN32</f>
        <v>Atenção</v>
      </c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</row>
  </sheetData>
  <mergeCells count="2">
    <mergeCell ref="A1:I1"/>
    <mergeCell ref="A15:I15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1" width="10.0"/>
    <col customWidth="1" min="22" max="26" width="8.71"/>
  </cols>
  <sheetData>
    <row r="1" ht="27.75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31.5" customHeight="1">
      <c r="A2" s="38" t="s">
        <v>1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  <c r="G2" s="38" t="s">
        <v>177</v>
      </c>
      <c r="H2" s="38" t="s">
        <v>178</v>
      </c>
      <c r="I2" s="38" t="s">
        <v>179</v>
      </c>
      <c r="J2" s="38" t="s">
        <v>180</v>
      </c>
      <c r="K2" s="38" t="s">
        <v>181</v>
      </c>
      <c r="L2" s="38" t="s">
        <v>182</v>
      </c>
      <c r="M2" s="38" t="s">
        <v>183</v>
      </c>
      <c r="N2" s="38" t="s">
        <v>184</v>
      </c>
      <c r="O2" s="38" t="s">
        <v>185</v>
      </c>
      <c r="P2" s="38" t="s">
        <v>186</v>
      </c>
      <c r="Q2" s="38" t="s">
        <v>187</v>
      </c>
      <c r="R2" s="38" t="s">
        <v>188</v>
      </c>
      <c r="S2" s="38" t="s">
        <v>189</v>
      </c>
      <c r="T2" s="38" t="s">
        <v>190</v>
      </c>
      <c r="U2" s="38" t="s">
        <v>191</v>
      </c>
    </row>
    <row r="3" ht="15.0" customHeight="1">
      <c r="A3" s="29" t="s">
        <v>41</v>
      </c>
      <c r="B3" s="69" t="s">
        <v>133</v>
      </c>
      <c r="C3" s="70">
        <f>Avaliacao_Humana!H3</f>
        <v>0</v>
      </c>
      <c r="D3" s="70">
        <f>ChatGPT_ZeroShot!H3</f>
        <v>1</v>
      </c>
      <c r="E3" s="70">
        <f>ChatGPT_FewShot!H3</f>
        <v>0</v>
      </c>
      <c r="F3" s="70">
        <f>ChatGPT_CoT!H3</f>
        <v>1</v>
      </c>
      <c r="G3" s="70">
        <f>Gemini_ZeroShot!H3</f>
        <v>0</v>
      </c>
      <c r="H3" s="70">
        <f>Gemini_FewShot!H3</f>
        <v>0</v>
      </c>
      <c r="I3" s="70">
        <f>Gemini_CoT!H3</f>
        <v>0</v>
      </c>
      <c r="J3" s="70">
        <f>Claude_ZeroShot!H3</f>
        <v>0</v>
      </c>
      <c r="K3" s="70">
        <f>Claude_FewShot!H3</f>
        <v>0</v>
      </c>
      <c r="L3" s="70">
        <f>Claude_CoT!H3</f>
        <v>0</v>
      </c>
      <c r="M3" s="70">
        <f t="shared" ref="M3:M182" si="1">ABS(D3-C3)</f>
        <v>1</v>
      </c>
      <c r="N3" s="70">
        <f t="shared" ref="N3:N182" si="2">ABS(E3-C3)</f>
        <v>0</v>
      </c>
      <c r="O3" s="70">
        <f t="shared" ref="O3:O182" si="3">ABS(F3-C3)</f>
        <v>1</v>
      </c>
      <c r="P3" s="70">
        <f t="shared" ref="P3:P182" si="4">ABS(G3-C3)</f>
        <v>0</v>
      </c>
      <c r="Q3" s="70">
        <f t="shared" ref="Q3:Q182" si="5">ABS(H3-C3)</f>
        <v>0</v>
      </c>
      <c r="R3" s="70">
        <f t="shared" ref="R3:R182" si="6">ABS(I3-C3)</f>
        <v>0</v>
      </c>
      <c r="S3" s="70">
        <f t="shared" ref="S3:S182" si="7">ABS(J3-C3)</f>
        <v>0</v>
      </c>
      <c r="T3" s="70">
        <f t="shared" ref="T3:T182" si="8">ABS(K3-C3)</f>
        <v>0</v>
      </c>
      <c r="U3" s="70">
        <f t="shared" ref="U3:U182" si="9">ABS(L3-C3)</f>
        <v>0</v>
      </c>
    </row>
    <row r="4" ht="15.0" customHeight="1">
      <c r="A4" s="12" t="s">
        <v>41</v>
      </c>
      <c r="B4" s="71" t="s">
        <v>134</v>
      </c>
      <c r="C4" s="72">
        <f>Avaliacao_Humana!N3</f>
        <v>2</v>
      </c>
      <c r="D4" s="72">
        <f>ChatGPT_ZeroShot!N3</f>
        <v>1</v>
      </c>
      <c r="E4" s="72">
        <f>ChatGPT_FewShot!N3</f>
        <v>2</v>
      </c>
      <c r="F4" s="72">
        <f>ChatGPT_CoT!N3</f>
        <v>1</v>
      </c>
      <c r="G4" s="72">
        <f>Gemini_ZeroShot!N3</f>
        <v>0</v>
      </c>
      <c r="H4" s="72">
        <f>Gemini_FewShot!N3</f>
        <v>2</v>
      </c>
      <c r="I4" s="72">
        <f>Gemini_CoT!N3</f>
        <v>0</v>
      </c>
      <c r="J4" s="72">
        <f>Claude_ZeroShot!N3</f>
        <v>0</v>
      </c>
      <c r="K4" s="72">
        <f>Claude_FewShot!N3</f>
        <v>2</v>
      </c>
      <c r="L4" s="72">
        <f>Claude_CoT!N3</f>
        <v>0</v>
      </c>
      <c r="M4" s="72">
        <f t="shared" si="1"/>
        <v>1</v>
      </c>
      <c r="N4" s="72">
        <f t="shared" si="2"/>
        <v>0</v>
      </c>
      <c r="O4" s="72">
        <f t="shared" si="3"/>
        <v>1</v>
      </c>
      <c r="P4" s="72">
        <f t="shared" si="4"/>
        <v>2</v>
      </c>
      <c r="Q4" s="72">
        <f t="shared" si="5"/>
        <v>0</v>
      </c>
      <c r="R4" s="72">
        <f t="shared" si="6"/>
        <v>2</v>
      </c>
      <c r="S4" s="72">
        <f t="shared" si="7"/>
        <v>2</v>
      </c>
      <c r="T4" s="72">
        <f t="shared" si="8"/>
        <v>0</v>
      </c>
      <c r="U4" s="72">
        <f t="shared" si="9"/>
        <v>2</v>
      </c>
    </row>
    <row r="5" ht="15.0" customHeight="1">
      <c r="A5" s="29" t="s">
        <v>41</v>
      </c>
      <c r="B5" s="73" t="s">
        <v>135</v>
      </c>
      <c r="C5" s="70">
        <f>Avaliacao_Humana!T3</f>
        <v>0</v>
      </c>
      <c r="D5" s="70">
        <f>ChatGPT_ZeroShot!T3</f>
        <v>0</v>
      </c>
      <c r="E5" s="70">
        <f>ChatGPT_FewShot!T3</f>
        <v>0</v>
      </c>
      <c r="F5" s="70">
        <f>ChatGPT_CoT!T3</f>
        <v>0</v>
      </c>
      <c r="G5" s="70">
        <f>Gemini_ZeroShot!T3</f>
        <v>0</v>
      </c>
      <c r="H5" s="70">
        <f>Gemini_FewShot!T3</f>
        <v>0</v>
      </c>
      <c r="I5" s="70">
        <f>Gemini_CoT!T3</f>
        <v>0</v>
      </c>
      <c r="J5" s="70">
        <f>Claude_ZeroShot!T3</f>
        <v>0</v>
      </c>
      <c r="K5" s="70">
        <f>Claude_FewShot!T3</f>
        <v>0</v>
      </c>
      <c r="L5" s="70">
        <f>Claude_CoT!T3</f>
        <v>0</v>
      </c>
      <c r="M5" s="70">
        <f t="shared" si="1"/>
        <v>0</v>
      </c>
      <c r="N5" s="70">
        <f t="shared" si="2"/>
        <v>0</v>
      </c>
      <c r="O5" s="70">
        <f t="shared" si="3"/>
        <v>0</v>
      </c>
      <c r="P5" s="70">
        <f t="shared" si="4"/>
        <v>0</v>
      </c>
      <c r="Q5" s="70">
        <f t="shared" si="5"/>
        <v>0</v>
      </c>
      <c r="R5" s="70">
        <f t="shared" si="6"/>
        <v>0</v>
      </c>
      <c r="S5" s="70">
        <f t="shared" si="7"/>
        <v>0</v>
      </c>
      <c r="T5" s="70">
        <f t="shared" si="8"/>
        <v>0</v>
      </c>
      <c r="U5" s="70">
        <f t="shared" si="9"/>
        <v>0</v>
      </c>
    </row>
    <row r="6" ht="15.0" customHeight="1">
      <c r="A6" s="12" t="s">
        <v>41</v>
      </c>
      <c r="B6" s="74" t="s">
        <v>136</v>
      </c>
      <c r="C6" s="72">
        <f>Avaliacao_Humana!Z3</f>
        <v>0</v>
      </c>
      <c r="D6" s="72">
        <f>ChatGPT_ZeroShot!Z3</f>
        <v>0</v>
      </c>
      <c r="E6" s="72">
        <f>ChatGPT_FewShot!Z3</f>
        <v>0</v>
      </c>
      <c r="F6" s="72">
        <f>ChatGPT_CoT!Z3</f>
        <v>0</v>
      </c>
      <c r="G6" s="72">
        <f>Gemini_ZeroShot!Z3</f>
        <v>0</v>
      </c>
      <c r="H6" s="72">
        <f>Gemini_FewShot!Z3</f>
        <v>0</v>
      </c>
      <c r="I6" s="72">
        <f>Gemini_CoT!Z3</f>
        <v>0</v>
      </c>
      <c r="J6" s="72">
        <f>Claude_ZeroShot!Z3</f>
        <v>1</v>
      </c>
      <c r="K6" s="72">
        <f>Claude_FewShot!Z3</f>
        <v>0</v>
      </c>
      <c r="L6" s="72">
        <f>Claude_CoT!Z3</f>
        <v>0</v>
      </c>
      <c r="M6" s="72">
        <f t="shared" si="1"/>
        <v>0</v>
      </c>
      <c r="N6" s="72">
        <f t="shared" si="2"/>
        <v>0</v>
      </c>
      <c r="O6" s="72">
        <f t="shared" si="3"/>
        <v>0</v>
      </c>
      <c r="P6" s="72">
        <f t="shared" si="4"/>
        <v>0</v>
      </c>
      <c r="Q6" s="72">
        <f t="shared" si="5"/>
        <v>0</v>
      </c>
      <c r="R6" s="72">
        <f t="shared" si="6"/>
        <v>0</v>
      </c>
      <c r="S6" s="72">
        <f t="shared" si="7"/>
        <v>1</v>
      </c>
      <c r="T6" s="72">
        <f t="shared" si="8"/>
        <v>0</v>
      </c>
      <c r="U6" s="72">
        <f t="shared" si="9"/>
        <v>0</v>
      </c>
    </row>
    <row r="7" ht="15.0" customHeight="1">
      <c r="A7" s="29" t="s">
        <v>41</v>
      </c>
      <c r="B7" s="75" t="s">
        <v>137</v>
      </c>
      <c r="C7" s="70">
        <f>Avaliacao_Humana!AF3</f>
        <v>0</v>
      </c>
      <c r="D7" s="70">
        <f>ChatGPT_ZeroShot!AF3</f>
        <v>0</v>
      </c>
      <c r="E7" s="70">
        <f>ChatGPT_FewShot!AF3</f>
        <v>0</v>
      </c>
      <c r="F7" s="70">
        <f>ChatGPT_CoT!AF3</f>
        <v>0</v>
      </c>
      <c r="G7" s="70">
        <f>Gemini_ZeroShot!AF3</f>
        <v>0</v>
      </c>
      <c r="H7" s="70">
        <f>Gemini_FewShot!AF3</f>
        <v>0</v>
      </c>
      <c r="I7" s="70">
        <f>Gemini_CoT!AF3</f>
        <v>0</v>
      </c>
      <c r="J7" s="70">
        <f>Claude_ZeroShot!AF3</f>
        <v>0</v>
      </c>
      <c r="K7" s="70">
        <f>Claude_FewShot!AF3</f>
        <v>0</v>
      </c>
      <c r="L7" s="70">
        <f>Claude_CoT!AF3</f>
        <v>0</v>
      </c>
      <c r="M7" s="70">
        <f t="shared" si="1"/>
        <v>0</v>
      </c>
      <c r="N7" s="70">
        <f t="shared" si="2"/>
        <v>0</v>
      </c>
      <c r="O7" s="70">
        <f t="shared" si="3"/>
        <v>0</v>
      </c>
      <c r="P7" s="70">
        <f t="shared" si="4"/>
        <v>0</v>
      </c>
      <c r="Q7" s="70">
        <f t="shared" si="5"/>
        <v>0</v>
      </c>
      <c r="R7" s="70">
        <f t="shared" si="6"/>
        <v>0</v>
      </c>
      <c r="S7" s="70">
        <f t="shared" si="7"/>
        <v>0</v>
      </c>
      <c r="T7" s="70">
        <f t="shared" si="8"/>
        <v>0</v>
      </c>
      <c r="U7" s="70">
        <f t="shared" si="9"/>
        <v>0</v>
      </c>
    </row>
    <row r="8" ht="15.0" customHeight="1">
      <c r="A8" s="12" t="s">
        <v>41</v>
      </c>
      <c r="B8" s="76" t="s">
        <v>138</v>
      </c>
      <c r="C8" s="72">
        <f>Avaliacao_Humana!AL3</f>
        <v>3</v>
      </c>
      <c r="D8" s="72">
        <f>ChatGPT_ZeroShot!AL3</f>
        <v>4</v>
      </c>
      <c r="E8" s="72">
        <f>ChatGPT_FewShot!AL3</f>
        <v>3</v>
      </c>
      <c r="F8" s="72">
        <f>ChatGPT_CoT!AL3</f>
        <v>4</v>
      </c>
      <c r="G8" s="72">
        <f>Gemini_ZeroShot!AL3</f>
        <v>0</v>
      </c>
      <c r="H8" s="72">
        <f>Gemini_FewShot!AL3</f>
        <v>3</v>
      </c>
      <c r="I8" s="72">
        <f>Gemini_CoT!AL3</f>
        <v>0</v>
      </c>
      <c r="J8" s="72">
        <f>Claude_ZeroShot!AL3</f>
        <v>3</v>
      </c>
      <c r="K8" s="72">
        <f>Claude_FewShot!AL3</f>
        <v>3</v>
      </c>
      <c r="L8" s="72">
        <f>Claude_CoT!AL3</f>
        <v>0</v>
      </c>
      <c r="M8" s="72">
        <f t="shared" si="1"/>
        <v>1</v>
      </c>
      <c r="N8" s="72">
        <f t="shared" si="2"/>
        <v>0</v>
      </c>
      <c r="O8" s="72">
        <f t="shared" si="3"/>
        <v>1</v>
      </c>
      <c r="P8" s="72">
        <f t="shared" si="4"/>
        <v>3</v>
      </c>
      <c r="Q8" s="72">
        <f t="shared" si="5"/>
        <v>0</v>
      </c>
      <c r="R8" s="72">
        <f t="shared" si="6"/>
        <v>3</v>
      </c>
      <c r="S8" s="72">
        <f t="shared" si="7"/>
        <v>0</v>
      </c>
      <c r="T8" s="72">
        <f t="shared" si="8"/>
        <v>0</v>
      </c>
      <c r="U8" s="72">
        <f t="shared" si="9"/>
        <v>3</v>
      </c>
    </row>
    <row r="9" ht="15.0" customHeight="1">
      <c r="A9" s="29" t="s">
        <v>43</v>
      </c>
      <c r="B9" s="69" t="s">
        <v>133</v>
      </c>
      <c r="C9" s="70">
        <f>Avaliacao_Humana!H4</f>
        <v>0</v>
      </c>
      <c r="D9" s="70">
        <f>ChatGPT_ZeroShot!H4</f>
        <v>0</v>
      </c>
      <c r="E9" s="70">
        <f>ChatGPT_FewShot!H4</f>
        <v>0</v>
      </c>
      <c r="F9" s="70">
        <f>ChatGPT_CoT!H4</f>
        <v>0</v>
      </c>
      <c r="G9" s="70">
        <f>Gemini_ZeroShot!H4</f>
        <v>0</v>
      </c>
      <c r="H9" s="70">
        <f>Gemini_FewShot!H4</f>
        <v>0</v>
      </c>
      <c r="I9" s="70">
        <f>Gemini_CoT!H4</f>
        <v>0</v>
      </c>
      <c r="J9" s="70">
        <f>Claude_ZeroShot!H4</f>
        <v>0</v>
      </c>
      <c r="K9" s="70">
        <f>Claude_FewShot!H4</f>
        <v>0</v>
      </c>
      <c r="L9" s="70">
        <f>Claude_CoT!H4</f>
        <v>0</v>
      </c>
      <c r="M9" s="70">
        <f t="shared" si="1"/>
        <v>0</v>
      </c>
      <c r="N9" s="70">
        <f t="shared" si="2"/>
        <v>0</v>
      </c>
      <c r="O9" s="70">
        <f t="shared" si="3"/>
        <v>0</v>
      </c>
      <c r="P9" s="70">
        <f t="shared" si="4"/>
        <v>0</v>
      </c>
      <c r="Q9" s="70">
        <f t="shared" si="5"/>
        <v>0</v>
      </c>
      <c r="R9" s="70">
        <f t="shared" si="6"/>
        <v>0</v>
      </c>
      <c r="S9" s="70">
        <f t="shared" si="7"/>
        <v>0</v>
      </c>
      <c r="T9" s="70">
        <f t="shared" si="8"/>
        <v>0</v>
      </c>
      <c r="U9" s="70">
        <f t="shared" si="9"/>
        <v>0</v>
      </c>
    </row>
    <row r="10" ht="15.0" customHeight="1">
      <c r="A10" s="12" t="s">
        <v>43</v>
      </c>
      <c r="B10" s="71" t="s">
        <v>134</v>
      </c>
      <c r="C10" s="72">
        <f>Avaliacao_Humana!N4</f>
        <v>1</v>
      </c>
      <c r="D10" s="72">
        <f>ChatGPT_ZeroShot!N4</f>
        <v>1</v>
      </c>
      <c r="E10" s="72">
        <f>ChatGPT_FewShot!N4</f>
        <v>1</v>
      </c>
      <c r="F10" s="72">
        <f>ChatGPT_CoT!N4</f>
        <v>1</v>
      </c>
      <c r="G10" s="72">
        <f>Gemini_ZeroShot!N4</f>
        <v>1</v>
      </c>
      <c r="H10" s="72">
        <f>Gemini_FewShot!N4</f>
        <v>1</v>
      </c>
      <c r="I10" s="72">
        <f>Gemini_CoT!N4</f>
        <v>1</v>
      </c>
      <c r="J10" s="72">
        <f>Claude_ZeroShot!N4</f>
        <v>1</v>
      </c>
      <c r="K10" s="72">
        <f>Claude_FewShot!N4</f>
        <v>1</v>
      </c>
      <c r="L10" s="72">
        <f>Claude_CoT!N4</f>
        <v>1</v>
      </c>
      <c r="M10" s="72">
        <f t="shared" si="1"/>
        <v>0</v>
      </c>
      <c r="N10" s="72">
        <f t="shared" si="2"/>
        <v>0</v>
      </c>
      <c r="O10" s="72">
        <f t="shared" si="3"/>
        <v>0</v>
      </c>
      <c r="P10" s="72">
        <f t="shared" si="4"/>
        <v>0</v>
      </c>
      <c r="Q10" s="72">
        <f t="shared" si="5"/>
        <v>0</v>
      </c>
      <c r="R10" s="72">
        <f t="shared" si="6"/>
        <v>0</v>
      </c>
      <c r="S10" s="72">
        <f t="shared" si="7"/>
        <v>0</v>
      </c>
      <c r="T10" s="72">
        <f t="shared" si="8"/>
        <v>0</v>
      </c>
      <c r="U10" s="72">
        <f t="shared" si="9"/>
        <v>0</v>
      </c>
    </row>
    <row r="11" ht="15.0" customHeight="1">
      <c r="A11" s="29" t="s">
        <v>43</v>
      </c>
      <c r="B11" s="73" t="s">
        <v>135</v>
      </c>
      <c r="C11" s="70">
        <f>Avaliacao_Humana!T4</f>
        <v>0</v>
      </c>
      <c r="D11" s="70">
        <f>ChatGPT_ZeroShot!T4</f>
        <v>0</v>
      </c>
      <c r="E11" s="70">
        <f>ChatGPT_FewShot!T4</f>
        <v>0</v>
      </c>
      <c r="F11" s="70">
        <f>ChatGPT_CoT!T4</f>
        <v>0</v>
      </c>
      <c r="G11" s="70">
        <f>Gemini_ZeroShot!T4</f>
        <v>0</v>
      </c>
      <c r="H11" s="70">
        <f>Gemini_FewShot!T4</f>
        <v>0</v>
      </c>
      <c r="I11" s="70">
        <f>Gemini_CoT!T4</f>
        <v>0</v>
      </c>
      <c r="J11" s="70">
        <f>Claude_ZeroShot!T4</f>
        <v>0</v>
      </c>
      <c r="K11" s="70">
        <f>Claude_FewShot!T4</f>
        <v>0</v>
      </c>
      <c r="L11" s="70">
        <f>Claude_CoT!T4</f>
        <v>0</v>
      </c>
      <c r="M11" s="70">
        <f t="shared" si="1"/>
        <v>0</v>
      </c>
      <c r="N11" s="70">
        <f t="shared" si="2"/>
        <v>0</v>
      </c>
      <c r="O11" s="70">
        <f t="shared" si="3"/>
        <v>0</v>
      </c>
      <c r="P11" s="70">
        <f t="shared" si="4"/>
        <v>0</v>
      </c>
      <c r="Q11" s="70">
        <f t="shared" si="5"/>
        <v>0</v>
      </c>
      <c r="R11" s="70">
        <f t="shared" si="6"/>
        <v>0</v>
      </c>
      <c r="S11" s="70">
        <f t="shared" si="7"/>
        <v>0</v>
      </c>
      <c r="T11" s="70">
        <f t="shared" si="8"/>
        <v>0</v>
      </c>
      <c r="U11" s="70">
        <f t="shared" si="9"/>
        <v>0</v>
      </c>
    </row>
    <row r="12" ht="15.0" customHeight="1">
      <c r="A12" s="12" t="s">
        <v>43</v>
      </c>
      <c r="B12" s="74" t="s">
        <v>136</v>
      </c>
      <c r="C12" s="72">
        <f>Avaliacao_Humana!Z4</f>
        <v>0</v>
      </c>
      <c r="D12" s="72">
        <f>ChatGPT_ZeroShot!Z4</f>
        <v>0</v>
      </c>
      <c r="E12" s="72">
        <f>ChatGPT_FewShot!Z4</f>
        <v>0</v>
      </c>
      <c r="F12" s="72">
        <f>ChatGPT_CoT!Z4</f>
        <v>0</v>
      </c>
      <c r="G12" s="72">
        <f>Gemini_ZeroShot!Z4</f>
        <v>0</v>
      </c>
      <c r="H12" s="72">
        <f>Gemini_FewShot!Z4</f>
        <v>0</v>
      </c>
      <c r="I12" s="72">
        <f>Gemini_CoT!Z4</f>
        <v>0</v>
      </c>
      <c r="J12" s="72">
        <f>Claude_ZeroShot!Z4</f>
        <v>0</v>
      </c>
      <c r="K12" s="72">
        <f>Claude_FewShot!Z4</f>
        <v>0</v>
      </c>
      <c r="L12" s="72">
        <f>Claude_CoT!Z4</f>
        <v>0</v>
      </c>
      <c r="M12" s="72">
        <f t="shared" si="1"/>
        <v>0</v>
      </c>
      <c r="N12" s="72">
        <f t="shared" si="2"/>
        <v>0</v>
      </c>
      <c r="O12" s="72">
        <f t="shared" si="3"/>
        <v>0</v>
      </c>
      <c r="P12" s="72">
        <f t="shared" si="4"/>
        <v>0</v>
      </c>
      <c r="Q12" s="72">
        <f t="shared" si="5"/>
        <v>0</v>
      </c>
      <c r="R12" s="72">
        <f t="shared" si="6"/>
        <v>0</v>
      </c>
      <c r="S12" s="72">
        <f t="shared" si="7"/>
        <v>0</v>
      </c>
      <c r="T12" s="72">
        <f t="shared" si="8"/>
        <v>0</v>
      </c>
      <c r="U12" s="72">
        <f t="shared" si="9"/>
        <v>0</v>
      </c>
    </row>
    <row r="13" ht="15.0" customHeight="1">
      <c r="A13" s="29" t="s">
        <v>43</v>
      </c>
      <c r="B13" s="75" t="s">
        <v>137</v>
      </c>
      <c r="C13" s="70">
        <f>Avaliacao_Humana!AF4</f>
        <v>0</v>
      </c>
      <c r="D13" s="70">
        <f>ChatGPT_ZeroShot!AF4</f>
        <v>0</v>
      </c>
      <c r="E13" s="70">
        <f>ChatGPT_FewShot!AF4</f>
        <v>0</v>
      </c>
      <c r="F13" s="70">
        <f>ChatGPT_CoT!AF4</f>
        <v>0</v>
      </c>
      <c r="G13" s="70">
        <f>Gemini_ZeroShot!AF4</f>
        <v>0</v>
      </c>
      <c r="H13" s="70">
        <f>Gemini_FewShot!AF4</f>
        <v>0</v>
      </c>
      <c r="I13" s="70">
        <f>Gemini_CoT!AF4</f>
        <v>0</v>
      </c>
      <c r="J13" s="70">
        <f>Claude_ZeroShot!AF4</f>
        <v>0</v>
      </c>
      <c r="K13" s="70">
        <f>Claude_FewShot!AF4</f>
        <v>0</v>
      </c>
      <c r="L13" s="70">
        <f>Claude_CoT!AF4</f>
        <v>0</v>
      </c>
      <c r="M13" s="70">
        <f t="shared" si="1"/>
        <v>0</v>
      </c>
      <c r="N13" s="70">
        <f t="shared" si="2"/>
        <v>0</v>
      </c>
      <c r="O13" s="70">
        <f t="shared" si="3"/>
        <v>0</v>
      </c>
      <c r="P13" s="70">
        <f t="shared" si="4"/>
        <v>0</v>
      </c>
      <c r="Q13" s="70">
        <f t="shared" si="5"/>
        <v>0</v>
      </c>
      <c r="R13" s="70">
        <f t="shared" si="6"/>
        <v>0</v>
      </c>
      <c r="S13" s="70">
        <f t="shared" si="7"/>
        <v>0</v>
      </c>
      <c r="T13" s="70">
        <f t="shared" si="8"/>
        <v>0</v>
      </c>
      <c r="U13" s="70">
        <f t="shared" si="9"/>
        <v>0</v>
      </c>
    </row>
    <row r="14" ht="15.0" customHeight="1">
      <c r="A14" s="12" t="s">
        <v>43</v>
      </c>
      <c r="B14" s="76" t="s">
        <v>138</v>
      </c>
      <c r="C14" s="72">
        <f>Avaliacao_Humana!AL4</f>
        <v>2</v>
      </c>
      <c r="D14" s="72">
        <f>ChatGPT_ZeroShot!AL4</f>
        <v>4</v>
      </c>
      <c r="E14" s="72">
        <f>ChatGPT_FewShot!AL4</f>
        <v>2</v>
      </c>
      <c r="F14" s="72">
        <f>ChatGPT_CoT!AL4</f>
        <v>4</v>
      </c>
      <c r="G14" s="72">
        <f>Gemini_ZeroShot!AL4</f>
        <v>0</v>
      </c>
      <c r="H14" s="72">
        <f>Gemini_FewShot!AL4</f>
        <v>4</v>
      </c>
      <c r="I14" s="72">
        <f>Gemini_CoT!AL4</f>
        <v>0</v>
      </c>
      <c r="J14" s="72">
        <f>Claude_ZeroShot!AL4</f>
        <v>4</v>
      </c>
      <c r="K14" s="72">
        <f>Claude_FewShot!AL4</f>
        <v>0</v>
      </c>
      <c r="L14" s="72">
        <f>Claude_CoT!AL4</f>
        <v>0</v>
      </c>
      <c r="M14" s="72">
        <f t="shared" si="1"/>
        <v>2</v>
      </c>
      <c r="N14" s="72">
        <f t="shared" si="2"/>
        <v>0</v>
      </c>
      <c r="O14" s="72">
        <f t="shared" si="3"/>
        <v>2</v>
      </c>
      <c r="P14" s="72">
        <f t="shared" si="4"/>
        <v>2</v>
      </c>
      <c r="Q14" s="72">
        <f t="shared" si="5"/>
        <v>2</v>
      </c>
      <c r="R14" s="72">
        <f t="shared" si="6"/>
        <v>2</v>
      </c>
      <c r="S14" s="72">
        <f t="shared" si="7"/>
        <v>2</v>
      </c>
      <c r="T14" s="72">
        <f t="shared" si="8"/>
        <v>2</v>
      </c>
      <c r="U14" s="72">
        <f t="shared" si="9"/>
        <v>2</v>
      </c>
    </row>
    <row r="15" ht="15.0" customHeight="1">
      <c r="A15" s="29" t="s">
        <v>45</v>
      </c>
      <c r="B15" s="69" t="s">
        <v>133</v>
      </c>
      <c r="C15" s="70">
        <f>Avaliacao_Humana!H5</f>
        <v>1</v>
      </c>
      <c r="D15" s="70">
        <f>ChatGPT_ZeroShot!H5</f>
        <v>1</v>
      </c>
      <c r="E15" s="70">
        <f>ChatGPT_FewShot!H5</f>
        <v>0</v>
      </c>
      <c r="F15" s="70">
        <f>ChatGPT_CoT!H5</f>
        <v>1</v>
      </c>
      <c r="G15" s="70">
        <f>Gemini_ZeroShot!H5</f>
        <v>0</v>
      </c>
      <c r="H15" s="70">
        <f>Gemini_FewShot!H5</f>
        <v>0</v>
      </c>
      <c r="I15" s="70">
        <f>Gemini_CoT!H5</f>
        <v>0</v>
      </c>
      <c r="J15" s="70">
        <f>Claude_ZeroShot!H5</f>
        <v>0</v>
      </c>
      <c r="K15" s="70">
        <f>Claude_FewShot!H5</f>
        <v>0</v>
      </c>
      <c r="L15" s="70">
        <f>Claude_CoT!H5</f>
        <v>0</v>
      </c>
      <c r="M15" s="70">
        <f t="shared" si="1"/>
        <v>0</v>
      </c>
      <c r="N15" s="70">
        <f t="shared" si="2"/>
        <v>1</v>
      </c>
      <c r="O15" s="70">
        <f t="shared" si="3"/>
        <v>0</v>
      </c>
      <c r="P15" s="70">
        <f t="shared" si="4"/>
        <v>1</v>
      </c>
      <c r="Q15" s="70">
        <f t="shared" si="5"/>
        <v>1</v>
      </c>
      <c r="R15" s="70">
        <f t="shared" si="6"/>
        <v>1</v>
      </c>
      <c r="S15" s="70">
        <f t="shared" si="7"/>
        <v>1</v>
      </c>
      <c r="T15" s="70">
        <f t="shared" si="8"/>
        <v>1</v>
      </c>
      <c r="U15" s="70">
        <f t="shared" si="9"/>
        <v>1</v>
      </c>
    </row>
    <row r="16" ht="15.0" customHeight="1">
      <c r="A16" s="12" t="s">
        <v>45</v>
      </c>
      <c r="B16" s="71" t="s">
        <v>134</v>
      </c>
      <c r="C16" s="72">
        <f>Avaliacao_Humana!N5</f>
        <v>0</v>
      </c>
      <c r="D16" s="72">
        <f>ChatGPT_ZeroShot!N5</f>
        <v>0</v>
      </c>
      <c r="E16" s="72">
        <f>ChatGPT_FewShot!N5</f>
        <v>0</v>
      </c>
      <c r="F16" s="72">
        <f>ChatGPT_CoT!N5</f>
        <v>0</v>
      </c>
      <c r="G16" s="72">
        <f>Gemini_ZeroShot!N5</f>
        <v>0</v>
      </c>
      <c r="H16" s="72">
        <f>Gemini_FewShot!N5</f>
        <v>0</v>
      </c>
      <c r="I16" s="72">
        <f>Gemini_CoT!N5</f>
        <v>0</v>
      </c>
      <c r="J16" s="72">
        <f>Claude_ZeroShot!N5</f>
        <v>0</v>
      </c>
      <c r="K16" s="72">
        <f>Claude_FewShot!N5</f>
        <v>0</v>
      </c>
      <c r="L16" s="72">
        <f>Claude_CoT!N5</f>
        <v>0</v>
      </c>
      <c r="M16" s="72">
        <f t="shared" si="1"/>
        <v>0</v>
      </c>
      <c r="N16" s="72">
        <f t="shared" si="2"/>
        <v>0</v>
      </c>
      <c r="O16" s="72">
        <f t="shared" si="3"/>
        <v>0</v>
      </c>
      <c r="P16" s="72">
        <f t="shared" si="4"/>
        <v>0</v>
      </c>
      <c r="Q16" s="72">
        <f t="shared" si="5"/>
        <v>0</v>
      </c>
      <c r="R16" s="72">
        <f t="shared" si="6"/>
        <v>0</v>
      </c>
      <c r="S16" s="72">
        <f t="shared" si="7"/>
        <v>0</v>
      </c>
      <c r="T16" s="72">
        <f t="shared" si="8"/>
        <v>0</v>
      </c>
      <c r="U16" s="72">
        <f t="shared" si="9"/>
        <v>0</v>
      </c>
    </row>
    <row r="17" ht="15.0" customHeight="1">
      <c r="A17" s="29" t="s">
        <v>45</v>
      </c>
      <c r="B17" s="73" t="s">
        <v>135</v>
      </c>
      <c r="C17" s="70">
        <f>Avaliacao_Humana!T5</f>
        <v>0</v>
      </c>
      <c r="D17" s="70">
        <f>ChatGPT_ZeroShot!T5</f>
        <v>0</v>
      </c>
      <c r="E17" s="70">
        <f>ChatGPT_FewShot!T5</f>
        <v>0</v>
      </c>
      <c r="F17" s="70">
        <f>ChatGPT_CoT!T5</f>
        <v>0</v>
      </c>
      <c r="G17" s="70">
        <f>Gemini_ZeroShot!T5</f>
        <v>0</v>
      </c>
      <c r="H17" s="70">
        <f>Gemini_FewShot!T5</f>
        <v>1</v>
      </c>
      <c r="I17" s="70">
        <f>Gemini_CoT!T5</f>
        <v>0</v>
      </c>
      <c r="J17" s="70">
        <f>Claude_ZeroShot!T5</f>
        <v>1</v>
      </c>
      <c r="K17" s="70">
        <f>Claude_FewShot!T5</f>
        <v>0</v>
      </c>
      <c r="L17" s="70">
        <f>Claude_CoT!T5</f>
        <v>0</v>
      </c>
      <c r="M17" s="70">
        <f t="shared" si="1"/>
        <v>0</v>
      </c>
      <c r="N17" s="70">
        <f t="shared" si="2"/>
        <v>0</v>
      </c>
      <c r="O17" s="70">
        <f t="shared" si="3"/>
        <v>0</v>
      </c>
      <c r="P17" s="70">
        <f t="shared" si="4"/>
        <v>0</v>
      </c>
      <c r="Q17" s="70">
        <f t="shared" si="5"/>
        <v>1</v>
      </c>
      <c r="R17" s="70">
        <f t="shared" si="6"/>
        <v>0</v>
      </c>
      <c r="S17" s="70">
        <f t="shared" si="7"/>
        <v>1</v>
      </c>
      <c r="T17" s="70">
        <f t="shared" si="8"/>
        <v>0</v>
      </c>
      <c r="U17" s="70">
        <f t="shared" si="9"/>
        <v>0</v>
      </c>
    </row>
    <row r="18" ht="15.0" customHeight="1">
      <c r="A18" s="12" t="s">
        <v>45</v>
      </c>
      <c r="B18" s="74" t="s">
        <v>136</v>
      </c>
      <c r="C18" s="72">
        <f>Avaliacao_Humana!Z5</f>
        <v>0</v>
      </c>
      <c r="D18" s="72">
        <f>ChatGPT_ZeroShot!Z5</f>
        <v>1</v>
      </c>
      <c r="E18" s="72">
        <f>ChatGPT_FewShot!Z5</f>
        <v>0</v>
      </c>
      <c r="F18" s="72">
        <f>ChatGPT_CoT!Z5</f>
        <v>1</v>
      </c>
      <c r="G18" s="72">
        <f>Gemini_ZeroShot!Z5</f>
        <v>0</v>
      </c>
      <c r="H18" s="72">
        <f>Gemini_FewShot!Z5</f>
        <v>0</v>
      </c>
      <c r="I18" s="72">
        <f>Gemini_CoT!Z5</f>
        <v>0</v>
      </c>
      <c r="J18" s="72">
        <f>Claude_ZeroShot!Z5</f>
        <v>1</v>
      </c>
      <c r="K18" s="72">
        <f>Claude_FewShot!Z5</f>
        <v>1</v>
      </c>
      <c r="L18" s="72">
        <f>Claude_CoT!Z5</f>
        <v>0</v>
      </c>
      <c r="M18" s="72">
        <f t="shared" si="1"/>
        <v>1</v>
      </c>
      <c r="N18" s="72">
        <f t="shared" si="2"/>
        <v>0</v>
      </c>
      <c r="O18" s="72">
        <f t="shared" si="3"/>
        <v>1</v>
      </c>
      <c r="P18" s="72">
        <f t="shared" si="4"/>
        <v>0</v>
      </c>
      <c r="Q18" s="72">
        <f t="shared" si="5"/>
        <v>0</v>
      </c>
      <c r="R18" s="72">
        <f t="shared" si="6"/>
        <v>0</v>
      </c>
      <c r="S18" s="72">
        <f t="shared" si="7"/>
        <v>1</v>
      </c>
      <c r="T18" s="72">
        <f t="shared" si="8"/>
        <v>1</v>
      </c>
      <c r="U18" s="72">
        <f t="shared" si="9"/>
        <v>0</v>
      </c>
    </row>
    <row r="19" ht="15.0" customHeight="1">
      <c r="A19" s="29" t="s">
        <v>45</v>
      </c>
      <c r="B19" s="75" t="s">
        <v>137</v>
      </c>
      <c r="C19" s="70">
        <f>Avaliacao_Humana!AF5</f>
        <v>0</v>
      </c>
      <c r="D19" s="70">
        <f>ChatGPT_ZeroShot!AF5</f>
        <v>0</v>
      </c>
      <c r="E19" s="70">
        <f>ChatGPT_FewShot!AF5</f>
        <v>0</v>
      </c>
      <c r="F19" s="70">
        <f>ChatGPT_CoT!AF5</f>
        <v>0</v>
      </c>
      <c r="G19" s="70">
        <f>Gemini_ZeroShot!AF5</f>
        <v>0</v>
      </c>
      <c r="H19" s="70">
        <f>Gemini_FewShot!AF5</f>
        <v>0</v>
      </c>
      <c r="I19" s="70">
        <f>Gemini_CoT!AF5</f>
        <v>0</v>
      </c>
      <c r="J19" s="70">
        <f>Claude_ZeroShot!AF5</f>
        <v>0</v>
      </c>
      <c r="K19" s="70">
        <f>Claude_FewShot!AF5</f>
        <v>0</v>
      </c>
      <c r="L19" s="70">
        <f>Claude_CoT!AF5</f>
        <v>0</v>
      </c>
      <c r="M19" s="70">
        <f t="shared" si="1"/>
        <v>0</v>
      </c>
      <c r="N19" s="70">
        <f t="shared" si="2"/>
        <v>0</v>
      </c>
      <c r="O19" s="70">
        <f t="shared" si="3"/>
        <v>0</v>
      </c>
      <c r="P19" s="70">
        <f t="shared" si="4"/>
        <v>0</v>
      </c>
      <c r="Q19" s="70">
        <f t="shared" si="5"/>
        <v>0</v>
      </c>
      <c r="R19" s="70">
        <f t="shared" si="6"/>
        <v>0</v>
      </c>
      <c r="S19" s="70">
        <f t="shared" si="7"/>
        <v>0</v>
      </c>
      <c r="T19" s="70">
        <f t="shared" si="8"/>
        <v>0</v>
      </c>
      <c r="U19" s="70">
        <f t="shared" si="9"/>
        <v>0</v>
      </c>
    </row>
    <row r="20" ht="15.0" customHeight="1">
      <c r="A20" s="12" t="s">
        <v>45</v>
      </c>
      <c r="B20" s="76" t="s">
        <v>138</v>
      </c>
      <c r="C20" s="72">
        <f>Avaliacao_Humana!AL5</f>
        <v>3</v>
      </c>
      <c r="D20" s="72">
        <f>ChatGPT_ZeroShot!AL5</f>
        <v>4</v>
      </c>
      <c r="E20" s="72">
        <f>ChatGPT_FewShot!AL5</f>
        <v>1</v>
      </c>
      <c r="F20" s="72">
        <f>ChatGPT_CoT!AL5</f>
        <v>4</v>
      </c>
      <c r="G20" s="72">
        <f>Gemini_ZeroShot!AL5</f>
        <v>0</v>
      </c>
      <c r="H20" s="72">
        <f>Gemini_FewShot!AL5</f>
        <v>4</v>
      </c>
      <c r="I20" s="72">
        <f>Gemini_CoT!AL5</f>
        <v>0</v>
      </c>
      <c r="J20" s="72">
        <f>Claude_ZeroShot!AL5</f>
        <v>4</v>
      </c>
      <c r="K20" s="72">
        <f>Claude_FewShot!AL5</f>
        <v>0</v>
      </c>
      <c r="L20" s="72">
        <f>Claude_CoT!AL5</f>
        <v>0</v>
      </c>
      <c r="M20" s="72">
        <f t="shared" si="1"/>
        <v>1</v>
      </c>
      <c r="N20" s="72">
        <f t="shared" si="2"/>
        <v>2</v>
      </c>
      <c r="O20" s="72">
        <f t="shared" si="3"/>
        <v>1</v>
      </c>
      <c r="P20" s="72">
        <f t="shared" si="4"/>
        <v>3</v>
      </c>
      <c r="Q20" s="72">
        <f t="shared" si="5"/>
        <v>1</v>
      </c>
      <c r="R20" s="72">
        <f t="shared" si="6"/>
        <v>3</v>
      </c>
      <c r="S20" s="72">
        <f t="shared" si="7"/>
        <v>1</v>
      </c>
      <c r="T20" s="72">
        <f t="shared" si="8"/>
        <v>3</v>
      </c>
      <c r="U20" s="72">
        <f t="shared" si="9"/>
        <v>3</v>
      </c>
    </row>
    <row r="21" ht="15.0" customHeight="1">
      <c r="A21" s="29" t="s">
        <v>47</v>
      </c>
      <c r="B21" s="69" t="s">
        <v>133</v>
      </c>
      <c r="C21" s="70">
        <f>Avaliacao_Humana!H6</f>
        <v>0</v>
      </c>
      <c r="D21" s="70">
        <f>ChatGPT_ZeroShot!H6</f>
        <v>0</v>
      </c>
      <c r="E21" s="70">
        <f>ChatGPT_FewShot!H6</f>
        <v>0</v>
      </c>
      <c r="F21" s="70">
        <f>ChatGPT_CoT!H6</f>
        <v>0</v>
      </c>
      <c r="G21" s="70">
        <f>Gemini_ZeroShot!H6</f>
        <v>0</v>
      </c>
      <c r="H21" s="70">
        <f>Gemini_FewShot!H6</f>
        <v>0</v>
      </c>
      <c r="I21" s="70">
        <f>Gemini_CoT!H6</f>
        <v>0</v>
      </c>
      <c r="J21" s="70">
        <f>Claude_ZeroShot!H6</f>
        <v>0</v>
      </c>
      <c r="K21" s="70">
        <f>Claude_FewShot!H6</f>
        <v>0</v>
      </c>
      <c r="L21" s="70">
        <f>Claude_CoT!H6</f>
        <v>0</v>
      </c>
      <c r="M21" s="70">
        <f t="shared" si="1"/>
        <v>0</v>
      </c>
      <c r="N21" s="70">
        <f t="shared" si="2"/>
        <v>0</v>
      </c>
      <c r="O21" s="70">
        <f t="shared" si="3"/>
        <v>0</v>
      </c>
      <c r="P21" s="70">
        <f t="shared" si="4"/>
        <v>0</v>
      </c>
      <c r="Q21" s="70">
        <f t="shared" si="5"/>
        <v>0</v>
      </c>
      <c r="R21" s="70">
        <f t="shared" si="6"/>
        <v>0</v>
      </c>
      <c r="S21" s="70">
        <f t="shared" si="7"/>
        <v>0</v>
      </c>
      <c r="T21" s="70">
        <f t="shared" si="8"/>
        <v>0</v>
      </c>
      <c r="U21" s="70">
        <f t="shared" si="9"/>
        <v>0</v>
      </c>
    </row>
    <row r="22" ht="15.0" customHeight="1">
      <c r="A22" s="12" t="s">
        <v>47</v>
      </c>
      <c r="B22" s="71" t="s">
        <v>134</v>
      </c>
      <c r="C22" s="72">
        <f>Avaliacao_Humana!N6</f>
        <v>0</v>
      </c>
      <c r="D22" s="72">
        <f>ChatGPT_ZeroShot!N6</f>
        <v>0</v>
      </c>
      <c r="E22" s="72">
        <f>ChatGPT_FewShot!N6</f>
        <v>0</v>
      </c>
      <c r="F22" s="72">
        <f>ChatGPT_CoT!N6</f>
        <v>0</v>
      </c>
      <c r="G22" s="72">
        <f>Gemini_ZeroShot!N6</f>
        <v>0</v>
      </c>
      <c r="H22" s="72">
        <f>Gemini_FewShot!N6</f>
        <v>0</v>
      </c>
      <c r="I22" s="72">
        <f>Gemini_CoT!N6</f>
        <v>0</v>
      </c>
      <c r="J22" s="72">
        <f>Claude_ZeroShot!N6</f>
        <v>0</v>
      </c>
      <c r="K22" s="72">
        <f>Claude_FewShot!N6</f>
        <v>0</v>
      </c>
      <c r="L22" s="72">
        <f>Claude_CoT!N6</f>
        <v>0</v>
      </c>
      <c r="M22" s="72">
        <f t="shared" si="1"/>
        <v>0</v>
      </c>
      <c r="N22" s="72">
        <f t="shared" si="2"/>
        <v>0</v>
      </c>
      <c r="O22" s="72">
        <f t="shared" si="3"/>
        <v>0</v>
      </c>
      <c r="P22" s="72">
        <f t="shared" si="4"/>
        <v>0</v>
      </c>
      <c r="Q22" s="72">
        <f t="shared" si="5"/>
        <v>0</v>
      </c>
      <c r="R22" s="72">
        <f t="shared" si="6"/>
        <v>0</v>
      </c>
      <c r="S22" s="72">
        <f t="shared" si="7"/>
        <v>0</v>
      </c>
      <c r="T22" s="72">
        <f t="shared" si="8"/>
        <v>0</v>
      </c>
      <c r="U22" s="72">
        <f t="shared" si="9"/>
        <v>0</v>
      </c>
    </row>
    <row r="23" ht="15.0" customHeight="1">
      <c r="A23" s="29" t="s">
        <v>47</v>
      </c>
      <c r="B23" s="73" t="s">
        <v>135</v>
      </c>
      <c r="C23" s="70">
        <f>Avaliacao_Humana!T6</f>
        <v>2</v>
      </c>
      <c r="D23" s="70">
        <f>ChatGPT_ZeroShot!T6</f>
        <v>1</v>
      </c>
      <c r="E23" s="70">
        <f>ChatGPT_FewShot!T6</f>
        <v>1</v>
      </c>
      <c r="F23" s="70">
        <f>ChatGPT_CoT!T6</f>
        <v>1</v>
      </c>
      <c r="G23" s="70">
        <f>Gemini_ZeroShot!T6</f>
        <v>1</v>
      </c>
      <c r="H23" s="70">
        <f>Gemini_FewShot!T6</f>
        <v>1</v>
      </c>
      <c r="I23" s="70">
        <f>Gemini_CoT!T6</f>
        <v>1</v>
      </c>
      <c r="J23" s="70">
        <f>Claude_ZeroShot!T6</f>
        <v>1</v>
      </c>
      <c r="K23" s="70">
        <f>Claude_FewShot!T6</f>
        <v>1</v>
      </c>
      <c r="L23" s="70">
        <f>Claude_CoT!T6</f>
        <v>1</v>
      </c>
      <c r="M23" s="70">
        <f t="shared" si="1"/>
        <v>1</v>
      </c>
      <c r="N23" s="70">
        <f t="shared" si="2"/>
        <v>1</v>
      </c>
      <c r="O23" s="70">
        <f t="shared" si="3"/>
        <v>1</v>
      </c>
      <c r="P23" s="70">
        <f t="shared" si="4"/>
        <v>1</v>
      </c>
      <c r="Q23" s="70">
        <f t="shared" si="5"/>
        <v>1</v>
      </c>
      <c r="R23" s="70">
        <f t="shared" si="6"/>
        <v>1</v>
      </c>
      <c r="S23" s="70">
        <f t="shared" si="7"/>
        <v>1</v>
      </c>
      <c r="T23" s="70">
        <f t="shared" si="8"/>
        <v>1</v>
      </c>
      <c r="U23" s="70">
        <f t="shared" si="9"/>
        <v>1</v>
      </c>
    </row>
    <row r="24" ht="15.0" customHeight="1">
      <c r="A24" s="12" t="s">
        <v>47</v>
      </c>
      <c r="B24" s="74" t="s">
        <v>136</v>
      </c>
      <c r="C24" s="72">
        <f>Avaliacao_Humana!Z6</f>
        <v>1</v>
      </c>
      <c r="D24" s="72">
        <f>ChatGPT_ZeroShot!Z6</f>
        <v>1</v>
      </c>
      <c r="E24" s="72">
        <f>ChatGPT_FewShot!Z6</f>
        <v>0</v>
      </c>
      <c r="F24" s="72">
        <f>ChatGPT_CoT!Z6</f>
        <v>1</v>
      </c>
      <c r="G24" s="72">
        <f>Gemini_ZeroShot!Z6</f>
        <v>0</v>
      </c>
      <c r="H24" s="72">
        <f>Gemini_FewShot!Z6</f>
        <v>0</v>
      </c>
      <c r="I24" s="72">
        <f>Gemini_CoT!Z6</f>
        <v>0</v>
      </c>
      <c r="J24" s="72">
        <f>Claude_ZeroShot!Z6</f>
        <v>1</v>
      </c>
      <c r="K24" s="72">
        <f>Claude_FewShot!Z6</f>
        <v>0</v>
      </c>
      <c r="L24" s="72">
        <f>Claude_CoT!Z6</f>
        <v>1</v>
      </c>
      <c r="M24" s="72">
        <f t="shared" si="1"/>
        <v>0</v>
      </c>
      <c r="N24" s="72">
        <f t="shared" si="2"/>
        <v>1</v>
      </c>
      <c r="O24" s="72">
        <f t="shared" si="3"/>
        <v>0</v>
      </c>
      <c r="P24" s="72">
        <f t="shared" si="4"/>
        <v>1</v>
      </c>
      <c r="Q24" s="72">
        <f t="shared" si="5"/>
        <v>1</v>
      </c>
      <c r="R24" s="72">
        <f t="shared" si="6"/>
        <v>1</v>
      </c>
      <c r="S24" s="72">
        <f t="shared" si="7"/>
        <v>0</v>
      </c>
      <c r="T24" s="72">
        <f t="shared" si="8"/>
        <v>1</v>
      </c>
      <c r="U24" s="72">
        <f t="shared" si="9"/>
        <v>0</v>
      </c>
    </row>
    <row r="25" ht="15.0" customHeight="1">
      <c r="A25" s="29" t="s">
        <v>47</v>
      </c>
      <c r="B25" s="75" t="s">
        <v>137</v>
      </c>
      <c r="C25" s="70">
        <f>Avaliacao_Humana!AF6</f>
        <v>0</v>
      </c>
      <c r="D25" s="70">
        <f>ChatGPT_ZeroShot!AF6</f>
        <v>0</v>
      </c>
      <c r="E25" s="70">
        <f>ChatGPT_FewShot!AF6</f>
        <v>0</v>
      </c>
      <c r="F25" s="70">
        <f>ChatGPT_CoT!AF6</f>
        <v>0</v>
      </c>
      <c r="G25" s="70">
        <f>Gemini_ZeroShot!AF6</f>
        <v>0</v>
      </c>
      <c r="H25" s="70">
        <f>Gemini_FewShot!AF6</f>
        <v>0</v>
      </c>
      <c r="I25" s="70">
        <f>Gemini_CoT!AF6</f>
        <v>0</v>
      </c>
      <c r="J25" s="70">
        <f>Claude_ZeroShot!AF6</f>
        <v>0</v>
      </c>
      <c r="K25" s="70">
        <f>Claude_FewShot!AF6</f>
        <v>0</v>
      </c>
      <c r="L25" s="70">
        <f>Claude_CoT!AF6</f>
        <v>0</v>
      </c>
      <c r="M25" s="70">
        <f t="shared" si="1"/>
        <v>0</v>
      </c>
      <c r="N25" s="70">
        <f t="shared" si="2"/>
        <v>0</v>
      </c>
      <c r="O25" s="70">
        <f t="shared" si="3"/>
        <v>0</v>
      </c>
      <c r="P25" s="70">
        <f t="shared" si="4"/>
        <v>0</v>
      </c>
      <c r="Q25" s="70">
        <f t="shared" si="5"/>
        <v>0</v>
      </c>
      <c r="R25" s="70">
        <f t="shared" si="6"/>
        <v>0</v>
      </c>
      <c r="S25" s="70">
        <f t="shared" si="7"/>
        <v>0</v>
      </c>
      <c r="T25" s="70">
        <f t="shared" si="8"/>
        <v>0</v>
      </c>
      <c r="U25" s="70">
        <f t="shared" si="9"/>
        <v>0</v>
      </c>
    </row>
    <row r="26" ht="15.0" customHeight="1">
      <c r="A26" s="12" t="s">
        <v>47</v>
      </c>
      <c r="B26" s="76" t="s">
        <v>138</v>
      </c>
      <c r="C26" s="72">
        <f>Avaliacao_Humana!AL6</f>
        <v>2</v>
      </c>
      <c r="D26" s="72">
        <f>ChatGPT_ZeroShot!AL6</f>
        <v>4</v>
      </c>
      <c r="E26" s="72">
        <f>ChatGPT_FewShot!AL6</f>
        <v>1</v>
      </c>
      <c r="F26" s="72">
        <f>ChatGPT_CoT!AL6</f>
        <v>4</v>
      </c>
      <c r="G26" s="72">
        <f>Gemini_ZeroShot!AL6</f>
        <v>0</v>
      </c>
      <c r="H26" s="72">
        <f>Gemini_FewShot!AL6</f>
        <v>4</v>
      </c>
      <c r="I26" s="72">
        <f>Gemini_CoT!AL6</f>
        <v>0</v>
      </c>
      <c r="J26" s="72">
        <f>Claude_ZeroShot!AL6</f>
        <v>4</v>
      </c>
      <c r="K26" s="72">
        <f>Claude_FewShot!AL6</f>
        <v>1</v>
      </c>
      <c r="L26" s="72">
        <f>Claude_CoT!AL6</f>
        <v>1</v>
      </c>
      <c r="M26" s="72">
        <f t="shared" si="1"/>
        <v>2</v>
      </c>
      <c r="N26" s="72">
        <f t="shared" si="2"/>
        <v>1</v>
      </c>
      <c r="O26" s="72">
        <f t="shared" si="3"/>
        <v>2</v>
      </c>
      <c r="P26" s="72">
        <f t="shared" si="4"/>
        <v>2</v>
      </c>
      <c r="Q26" s="72">
        <f t="shared" si="5"/>
        <v>2</v>
      </c>
      <c r="R26" s="72">
        <f t="shared" si="6"/>
        <v>2</v>
      </c>
      <c r="S26" s="72">
        <f t="shared" si="7"/>
        <v>2</v>
      </c>
      <c r="T26" s="72">
        <f t="shared" si="8"/>
        <v>1</v>
      </c>
      <c r="U26" s="72">
        <f t="shared" si="9"/>
        <v>1</v>
      </c>
    </row>
    <row r="27" ht="15.0" customHeight="1">
      <c r="A27" s="29" t="s">
        <v>49</v>
      </c>
      <c r="B27" s="69" t="s">
        <v>133</v>
      </c>
      <c r="C27" s="70">
        <f>Avaliacao_Humana!H7</f>
        <v>1</v>
      </c>
      <c r="D27" s="70">
        <f>ChatGPT_ZeroShot!H7</f>
        <v>1</v>
      </c>
      <c r="E27" s="70">
        <f>ChatGPT_FewShot!H7</f>
        <v>0</v>
      </c>
      <c r="F27" s="70">
        <f>ChatGPT_CoT!H7</f>
        <v>1</v>
      </c>
      <c r="G27" s="70">
        <f>Gemini_ZeroShot!H7</f>
        <v>1</v>
      </c>
      <c r="H27" s="70">
        <f>Gemini_FewShot!H7</f>
        <v>1</v>
      </c>
      <c r="I27" s="70">
        <f>Gemini_CoT!H7</f>
        <v>1</v>
      </c>
      <c r="J27" s="70">
        <f>Claude_ZeroShot!H7</f>
        <v>1</v>
      </c>
      <c r="K27" s="70">
        <f>Claude_FewShot!H7</f>
        <v>1</v>
      </c>
      <c r="L27" s="70">
        <f>Claude_CoT!H7</f>
        <v>1</v>
      </c>
      <c r="M27" s="70">
        <f t="shared" si="1"/>
        <v>0</v>
      </c>
      <c r="N27" s="70">
        <f t="shared" si="2"/>
        <v>1</v>
      </c>
      <c r="O27" s="70">
        <f t="shared" si="3"/>
        <v>0</v>
      </c>
      <c r="P27" s="70">
        <f t="shared" si="4"/>
        <v>0</v>
      </c>
      <c r="Q27" s="70">
        <f t="shared" si="5"/>
        <v>0</v>
      </c>
      <c r="R27" s="70">
        <f t="shared" si="6"/>
        <v>0</v>
      </c>
      <c r="S27" s="70">
        <f t="shared" si="7"/>
        <v>0</v>
      </c>
      <c r="T27" s="70">
        <f t="shared" si="8"/>
        <v>0</v>
      </c>
      <c r="U27" s="70">
        <f t="shared" si="9"/>
        <v>0</v>
      </c>
    </row>
    <row r="28" ht="15.0" customHeight="1">
      <c r="A28" s="12" t="s">
        <v>49</v>
      </c>
      <c r="B28" s="71" t="s">
        <v>134</v>
      </c>
      <c r="C28" s="72">
        <f>Avaliacao_Humana!N7</f>
        <v>2</v>
      </c>
      <c r="D28" s="72">
        <f>ChatGPT_ZeroShot!N7</f>
        <v>2</v>
      </c>
      <c r="E28" s="72">
        <f>ChatGPT_FewShot!N7</f>
        <v>1</v>
      </c>
      <c r="F28" s="72">
        <f>ChatGPT_CoT!N7</f>
        <v>1</v>
      </c>
      <c r="G28" s="72">
        <f>Gemini_ZeroShot!N7</f>
        <v>1</v>
      </c>
      <c r="H28" s="72">
        <f>Gemini_FewShot!N7</f>
        <v>1</v>
      </c>
      <c r="I28" s="72">
        <f>Gemini_CoT!N7</f>
        <v>1</v>
      </c>
      <c r="J28" s="72">
        <f>Claude_ZeroShot!N7</f>
        <v>1</v>
      </c>
      <c r="K28" s="72">
        <f>Claude_FewShot!N7</f>
        <v>1</v>
      </c>
      <c r="L28" s="72">
        <f>Claude_CoT!N7</f>
        <v>1</v>
      </c>
      <c r="M28" s="72">
        <f t="shared" si="1"/>
        <v>0</v>
      </c>
      <c r="N28" s="72">
        <f t="shared" si="2"/>
        <v>1</v>
      </c>
      <c r="O28" s="72">
        <f t="shared" si="3"/>
        <v>1</v>
      </c>
      <c r="P28" s="72">
        <f t="shared" si="4"/>
        <v>1</v>
      </c>
      <c r="Q28" s="72">
        <f t="shared" si="5"/>
        <v>1</v>
      </c>
      <c r="R28" s="72">
        <f t="shared" si="6"/>
        <v>1</v>
      </c>
      <c r="S28" s="72">
        <f t="shared" si="7"/>
        <v>1</v>
      </c>
      <c r="T28" s="72">
        <f t="shared" si="8"/>
        <v>1</v>
      </c>
      <c r="U28" s="72">
        <f t="shared" si="9"/>
        <v>1</v>
      </c>
    </row>
    <row r="29" ht="15.0" customHeight="1">
      <c r="A29" s="29" t="s">
        <v>49</v>
      </c>
      <c r="B29" s="73" t="s">
        <v>135</v>
      </c>
      <c r="C29" s="70">
        <f>Avaliacao_Humana!T7</f>
        <v>1</v>
      </c>
      <c r="D29" s="70">
        <f>ChatGPT_ZeroShot!T7</f>
        <v>2</v>
      </c>
      <c r="E29" s="70">
        <f>ChatGPT_FewShot!T7</f>
        <v>0</v>
      </c>
      <c r="F29" s="70">
        <f>ChatGPT_CoT!T7</f>
        <v>1</v>
      </c>
      <c r="G29" s="70">
        <f>Gemini_ZeroShot!T7</f>
        <v>0</v>
      </c>
      <c r="H29" s="70">
        <f>Gemini_FewShot!T7</f>
        <v>1</v>
      </c>
      <c r="I29" s="70">
        <f>Gemini_CoT!T7</f>
        <v>0</v>
      </c>
      <c r="J29" s="70">
        <f>Claude_ZeroShot!T7</f>
        <v>2</v>
      </c>
      <c r="K29" s="70">
        <f>Claude_FewShot!T7</f>
        <v>0</v>
      </c>
      <c r="L29" s="70">
        <f>Claude_CoT!T7</f>
        <v>1</v>
      </c>
      <c r="M29" s="70">
        <f t="shared" si="1"/>
        <v>1</v>
      </c>
      <c r="N29" s="70">
        <f t="shared" si="2"/>
        <v>1</v>
      </c>
      <c r="O29" s="70">
        <f t="shared" si="3"/>
        <v>0</v>
      </c>
      <c r="P29" s="70">
        <f t="shared" si="4"/>
        <v>1</v>
      </c>
      <c r="Q29" s="70">
        <f t="shared" si="5"/>
        <v>0</v>
      </c>
      <c r="R29" s="70">
        <f t="shared" si="6"/>
        <v>1</v>
      </c>
      <c r="S29" s="70">
        <f t="shared" si="7"/>
        <v>1</v>
      </c>
      <c r="T29" s="70">
        <f t="shared" si="8"/>
        <v>1</v>
      </c>
      <c r="U29" s="70">
        <f t="shared" si="9"/>
        <v>0</v>
      </c>
    </row>
    <row r="30" ht="15.0" customHeight="1">
      <c r="A30" s="12" t="s">
        <v>49</v>
      </c>
      <c r="B30" s="74" t="s">
        <v>136</v>
      </c>
      <c r="C30" s="72">
        <f>Avaliacao_Humana!Z7</f>
        <v>1</v>
      </c>
      <c r="D30" s="72">
        <f>ChatGPT_ZeroShot!Z7</f>
        <v>0</v>
      </c>
      <c r="E30" s="72">
        <f>ChatGPT_FewShot!Z7</f>
        <v>0</v>
      </c>
      <c r="F30" s="72">
        <f>ChatGPT_CoT!Z7</f>
        <v>0</v>
      </c>
      <c r="G30" s="72">
        <f>Gemini_ZeroShot!Z7</f>
        <v>0</v>
      </c>
      <c r="H30" s="72">
        <f>Gemini_FewShot!Z7</f>
        <v>0</v>
      </c>
      <c r="I30" s="72">
        <f>Gemini_CoT!Z7</f>
        <v>0</v>
      </c>
      <c r="J30" s="72">
        <f>Claude_ZeroShot!Z7</f>
        <v>1</v>
      </c>
      <c r="K30" s="72">
        <f>Claude_FewShot!Z7</f>
        <v>0</v>
      </c>
      <c r="L30" s="72">
        <f>Claude_CoT!Z7</f>
        <v>0</v>
      </c>
      <c r="M30" s="72">
        <f t="shared" si="1"/>
        <v>1</v>
      </c>
      <c r="N30" s="72">
        <f t="shared" si="2"/>
        <v>1</v>
      </c>
      <c r="O30" s="72">
        <f t="shared" si="3"/>
        <v>1</v>
      </c>
      <c r="P30" s="72">
        <f t="shared" si="4"/>
        <v>1</v>
      </c>
      <c r="Q30" s="72">
        <f t="shared" si="5"/>
        <v>1</v>
      </c>
      <c r="R30" s="72">
        <f t="shared" si="6"/>
        <v>1</v>
      </c>
      <c r="S30" s="72">
        <f t="shared" si="7"/>
        <v>0</v>
      </c>
      <c r="T30" s="72">
        <f t="shared" si="8"/>
        <v>1</v>
      </c>
      <c r="U30" s="72">
        <f t="shared" si="9"/>
        <v>1</v>
      </c>
    </row>
    <row r="31" ht="15.0" customHeight="1">
      <c r="A31" s="29" t="s">
        <v>49</v>
      </c>
      <c r="B31" s="75" t="s">
        <v>137</v>
      </c>
      <c r="C31" s="70">
        <f>Avaliacao_Humana!AF7</f>
        <v>0</v>
      </c>
      <c r="D31" s="70">
        <f>ChatGPT_ZeroShot!AF7</f>
        <v>0</v>
      </c>
      <c r="E31" s="70">
        <f>ChatGPT_FewShot!AF7</f>
        <v>0</v>
      </c>
      <c r="F31" s="70">
        <f>ChatGPT_CoT!AF7</f>
        <v>0</v>
      </c>
      <c r="G31" s="70">
        <f>Gemini_ZeroShot!AF7</f>
        <v>0</v>
      </c>
      <c r="H31" s="70">
        <f>Gemini_FewShot!AF7</f>
        <v>0</v>
      </c>
      <c r="I31" s="70">
        <f>Gemini_CoT!AF7</f>
        <v>0</v>
      </c>
      <c r="J31" s="70">
        <f>Claude_ZeroShot!AF7</f>
        <v>1</v>
      </c>
      <c r="K31" s="70">
        <f>Claude_FewShot!AF7</f>
        <v>0</v>
      </c>
      <c r="L31" s="70">
        <f>Claude_CoT!AF7</f>
        <v>0</v>
      </c>
      <c r="M31" s="70">
        <f t="shared" si="1"/>
        <v>0</v>
      </c>
      <c r="N31" s="70">
        <f t="shared" si="2"/>
        <v>0</v>
      </c>
      <c r="O31" s="70">
        <f t="shared" si="3"/>
        <v>0</v>
      </c>
      <c r="P31" s="70">
        <f t="shared" si="4"/>
        <v>0</v>
      </c>
      <c r="Q31" s="70">
        <f t="shared" si="5"/>
        <v>0</v>
      </c>
      <c r="R31" s="70">
        <f t="shared" si="6"/>
        <v>0</v>
      </c>
      <c r="S31" s="70">
        <f t="shared" si="7"/>
        <v>1</v>
      </c>
      <c r="T31" s="70">
        <f t="shared" si="8"/>
        <v>0</v>
      </c>
      <c r="U31" s="70">
        <f t="shared" si="9"/>
        <v>0</v>
      </c>
    </row>
    <row r="32" ht="15.0" customHeight="1">
      <c r="A32" s="12" t="s">
        <v>49</v>
      </c>
      <c r="B32" s="76" t="s">
        <v>138</v>
      </c>
      <c r="C32" s="72">
        <f>Avaliacao_Humana!AL7</f>
        <v>3</v>
      </c>
      <c r="D32" s="72">
        <f>ChatGPT_ZeroShot!AL7</f>
        <v>4</v>
      </c>
      <c r="E32" s="72">
        <f>ChatGPT_FewShot!AL7</f>
        <v>1</v>
      </c>
      <c r="F32" s="72">
        <f>ChatGPT_CoT!AL7</f>
        <v>4</v>
      </c>
      <c r="G32" s="72">
        <f>Gemini_ZeroShot!AL7</f>
        <v>0</v>
      </c>
      <c r="H32" s="72">
        <f>Gemini_FewShot!AL7</f>
        <v>5</v>
      </c>
      <c r="I32" s="72">
        <f>Gemini_CoT!AL7</f>
        <v>0</v>
      </c>
      <c r="J32" s="72">
        <f>Claude_ZeroShot!AL7</f>
        <v>4</v>
      </c>
      <c r="K32" s="72">
        <f>Claude_FewShot!AL7</f>
        <v>0</v>
      </c>
      <c r="L32" s="72">
        <f>Claude_CoT!AL7</f>
        <v>0</v>
      </c>
      <c r="M32" s="72">
        <f t="shared" si="1"/>
        <v>1</v>
      </c>
      <c r="N32" s="72">
        <f t="shared" si="2"/>
        <v>2</v>
      </c>
      <c r="O32" s="72">
        <f t="shared" si="3"/>
        <v>1</v>
      </c>
      <c r="P32" s="72">
        <f t="shared" si="4"/>
        <v>3</v>
      </c>
      <c r="Q32" s="72">
        <f t="shared" si="5"/>
        <v>2</v>
      </c>
      <c r="R32" s="72">
        <f t="shared" si="6"/>
        <v>3</v>
      </c>
      <c r="S32" s="72">
        <f t="shared" si="7"/>
        <v>1</v>
      </c>
      <c r="T32" s="72">
        <f t="shared" si="8"/>
        <v>3</v>
      </c>
      <c r="U32" s="72">
        <f t="shared" si="9"/>
        <v>3</v>
      </c>
    </row>
    <row r="33" ht="15.0" customHeight="1">
      <c r="A33" s="29" t="s">
        <v>51</v>
      </c>
      <c r="B33" s="69" t="s">
        <v>133</v>
      </c>
      <c r="C33" s="70">
        <f>Avaliacao_Humana!H8</f>
        <v>0</v>
      </c>
      <c r="D33" s="70">
        <f>ChatGPT_ZeroShot!H8</f>
        <v>0</v>
      </c>
      <c r="E33" s="70">
        <f>ChatGPT_FewShot!H8</f>
        <v>0</v>
      </c>
      <c r="F33" s="70">
        <f>ChatGPT_CoT!H8</f>
        <v>0</v>
      </c>
      <c r="G33" s="70">
        <f>Gemini_ZeroShot!H8</f>
        <v>0</v>
      </c>
      <c r="H33" s="70">
        <f>Gemini_FewShot!H8</f>
        <v>0</v>
      </c>
      <c r="I33" s="70">
        <f>Gemini_CoT!H8</f>
        <v>0</v>
      </c>
      <c r="J33" s="70">
        <f>Claude_ZeroShot!H8</f>
        <v>0</v>
      </c>
      <c r="K33" s="70">
        <f>Claude_FewShot!H8</f>
        <v>0</v>
      </c>
      <c r="L33" s="70">
        <f>Claude_CoT!H8</f>
        <v>0</v>
      </c>
      <c r="M33" s="70">
        <f t="shared" si="1"/>
        <v>0</v>
      </c>
      <c r="N33" s="70">
        <f t="shared" si="2"/>
        <v>0</v>
      </c>
      <c r="O33" s="70">
        <f t="shared" si="3"/>
        <v>0</v>
      </c>
      <c r="P33" s="70">
        <f t="shared" si="4"/>
        <v>0</v>
      </c>
      <c r="Q33" s="70">
        <f t="shared" si="5"/>
        <v>0</v>
      </c>
      <c r="R33" s="70">
        <f t="shared" si="6"/>
        <v>0</v>
      </c>
      <c r="S33" s="70">
        <f t="shared" si="7"/>
        <v>0</v>
      </c>
      <c r="T33" s="70">
        <f t="shared" si="8"/>
        <v>0</v>
      </c>
      <c r="U33" s="70">
        <f t="shared" si="9"/>
        <v>0</v>
      </c>
    </row>
    <row r="34" ht="15.0" customHeight="1">
      <c r="A34" s="12" t="s">
        <v>51</v>
      </c>
      <c r="B34" s="71" t="s">
        <v>134</v>
      </c>
      <c r="C34" s="72">
        <f>Avaliacao_Humana!N8</f>
        <v>0</v>
      </c>
      <c r="D34" s="72">
        <f>ChatGPT_ZeroShot!N8</f>
        <v>0</v>
      </c>
      <c r="E34" s="72">
        <f>ChatGPT_FewShot!N8</f>
        <v>0</v>
      </c>
      <c r="F34" s="72">
        <f>ChatGPT_CoT!N8</f>
        <v>0</v>
      </c>
      <c r="G34" s="72">
        <f>Gemini_ZeroShot!N8</f>
        <v>0</v>
      </c>
      <c r="H34" s="72">
        <f>Gemini_FewShot!N8</f>
        <v>0</v>
      </c>
      <c r="I34" s="72">
        <f>Gemini_CoT!N8</f>
        <v>0</v>
      </c>
      <c r="J34" s="72">
        <f>Claude_ZeroShot!N8</f>
        <v>0</v>
      </c>
      <c r="K34" s="72">
        <f>Claude_FewShot!N8</f>
        <v>0</v>
      </c>
      <c r="L34" s="72">
        <f>Claude_CoT!N8</f>
        <v>0</v>
      </c>
      <c r="M34" s="72">
        <f t="shared" si="1"/>
        <v>0</v>
      </c>
      <c r="N34" s="72">
        <f t="shared" si="2"/>
        <v>0</v>
      </c>
      <c r="O34" s="72">
        <f t="shared" si="3"/>
        <v>0</v>
      </c>
      <c r="P34" s="72">
        <f t="shared" si="4"/>
        <v>0</v>
      </c>
      <c r="Q34" s="72">
        <f t="shared" si="5"/>
        <v>0</v>
      </c>
      <c r="R34" s="72">
        <f t="shared" si="6"/>
        <v>0</v>
      </c>
      <c r="S34" s="72">
        <f t="shared" si="7"/>
        <v>0</v>
      </c>
      <c r="T34" s="72">
        <f t="shared" si="8"/>
        <v>0</v>
      </c>
      <c r="U34" s="72">
        <f t="shared" si="9"/>
        <v>0</v>
      </c>
    </row>
    <row r="35" ht="15.0" customHeight="1">
      <c r="A35" s="29" t="s">
        <v>51</v>
      </c>
      <c r="B35" s="73" t="s">
        <v>135</v>
      </c>
      <c r="C35" s="70">
        <f>Avaliacao_Humana!T8</f>
        <v>0</v>
      </c>
      <c r="D35" s="70">
        <f>ChatGPT_ZeroShot!T8</f>
        <v>0</v>
      </c>
      <c r="E35" s="70">
        <f>ChatGPT_FewShot!T8</f>
        <v>0</v>
      </c>
      <c r="F35" s="70">
        <f>ChatGPT_CoT!T8</f>
        <v>1</v>
      </c>
      <c r="G35" s="70">
        <f>Gemini_ZeroShot!T8</f>
        <v>0</v>
      </c>
      <c r="H35" s="70">
        <f>Gemini_FewShot!T8</f>
        <v>1</v>
      </c>
      <c r="I35" s="70">
        <f>Gemini_CoT!T8</f>
        <v>0</v>
      </c>
      <c r="J35" s="70">
        <f>Claude_ZeroShot!T8</f>
        <v>1</v>
      </c>
      <c r="K35" s="70">
        <f>Claude_FewShot!T8</f>
        <v>0</v>
      </c>
      <c r="L35" s="70">
        <f>Claude_CoT!T8</f>
        <v>1</v>
      </c>
      <c r="M35" s="70">
        <f t="shared" si="1"/>
        <v>0</v>
      </c>
      <c r="N35" s="70">
        <f t="shared" si="2"/>
        <v>0</v>
      </c>
      <c r="O35" s="70">
        <f t="shared" si="3"/>
        <v>1</v>
      </c>
      <c r="P35" s="70">
        <f t="shared" si="4"/>
        <v>0</v>
      </c>
      <c r="Q35" s="70">
        <f t="shared" si="5"/>
        <v>1</v>
      </c>
      <c r="R35" s="70">
        <f t="shared" si="6"/>
        <v>0</v>
      </c>
      <c r="S35" s="70">
        <f t="shared" si="7"/>
        <v>1</v>
      </c>
      <c r="T35" s="70">
        <f t="shared" si="8"/>
        <v>0</v>
      </c>
      <c r="U35" s="70">
        <f t="shared" si="9"/>
        <v>1</v>
      </c>
    </row>
    <row r="36" ht="15.0" customHeight="1">
      <c r="A36" s="12" t="s">
        <v>51</v>
      </c>
      <c r="B36" s="74" t="s">
        <v>136</v>
      </c>
      <c r="C36" s="72">
        <f>Avaliacao_Humana!Z8</f>
        <v>3</v>
      </c>
      <c r="D36" s="72">
        <f>ChatGPT_ZeroShot!Z8</f>
        <v>2</v>
      </c>
      <c r="E36" s="72">
        <f>ChatGPT_FewShot!Z8</f>
        <v>2</v>
      </c>
      <c r="F36" s="72">
        <f>ChatGPT_CoT!Z8</f>
        <v>2</v>
      </c>
      <c r="G36" s="72">
        <f>Gemini_ZeroShot!Z8</f>
        <v>2</v>
      </c>
      <c r="H36" s="72">
        <f>Gemini_FewShot!Z8</f>
        <v>2</v>
      </c>
      <c r="I36" s="72">
        <f>Gemini_CoT!Z8</f>
        <v>2</v>
      </c>
      <c r="J36" s="72">
        <f>Claude_ZeroShot!Z8</f>
        <v>3</v>
      </c>
      <c r="K36" s="72">
        <f>Claude_FewShot!Z8</f>
        <v>2</v>
      </c>
      <c r="L36" s="72">
        <f>Claude_CoT!Z8</f>
        <v>2</v>
      </c>
      <c r="M36" s="72">
        <f t="shared" si="1"/>
        <v>1</v>
      </c>
      <c r="N36" s="72">
        <f t="shared" si="2"/>
        <v>1</v>
      </c>
      <c r="O36" s="72">
        <f t="shared" si="3"/>
        <v>1</v>
      </c>
      <c r="P36" s="72">
        <f t="shared" si="4"/>
        <v>1</v>
      </c>
      <c r="Q36" s="72">
        <f t="shared" si="5"/>
        <v>1</v>
      </c>
      <c r="R36" s="72">
        <f t="shared" si="6"/>
        <v>1</v>
      </c>
      <c r="S36" s="72">
        <f t="shared" si="7"/>
        <v>0</v>
      </c>
      <c r="T36" s="72">
        <f t="shared" si="8"/>
        <v>1</v>
      </c>
      <c r="U36" s="72">
        <f t="shared" si="9"/>
        <v>1</v>
      </c>
    </row>
    <row r="37" ht="15.0" customHeight="1">
      <c r="A37" s="29" t="s">
        <v>51</v>
      </c>
      <c r="B37" s="75" t="s">
        <v>137</v>
      </c>
      <c r="C37" s="70">
        <f>Avaliacao_Humana!AF8</f>
        <v>0</v>
      </c>
      <c r="D37" s="70">
        <f>ChatGPT_ZeroShot!AF8</f>
        <v>0</v>
      </c>
      <c r="E37" s="70">
        <f>ChatGPT_FewShot!AF8</f>
        <v>0</v>
      </c>
      <c r="F37" s="70">
        <f>ChatGPT_CoT!AF8</f>
        <v>0</v>
      </c>
      <c r="G37" s="70">
        <f>Gemini_ZeroShot!AF8</f>
        <v>0</v>
      </c>
      <c r="H37" s="70">
        <f>Gemini_FewShot!AF8</f>
        <v>0</v>
      </c>
      <c r="I37" s="70">
        <f>Gemini_CoT!AF8</f>
        <v>0</v>
      </c>
      <c r="J37" s="70">
        <f>Claude_ZeroShot!AF8</f>
        <v>0</v>
      </c>
      <c r="K37" s="70">
        <f>Claude_FewShot!AF8</f>
        <v>0</v>
      </c>
      <c r="L37" s="70">
        <f>Claude_CoT!AF8</f>
        <v>0</v>
      </c>
      <c r="M37" s="70">
        <f t="shared" si="1"/>
        <v>0</v>
      </c>
      <c r="N37" s="70">
        <f t="shared" si="2"/>
        <v>0</v>
      </c>
      <c r="O37" s="70">
        <f t="shared" si="3"/>
        <v>0</v>
      </c>
      <c r="P37" s="70">
        <f t="shared" si="4"/>
        <v>0</v>
      </c>
      <c r="Q37" s="70">
        <f t="shared" si="5"/>
        <v>0</v>
      </c>
      <c r="R37" s="70">
        <f t="shared" si="6"/>
        <v>0</v>
      </c>
      <c r="S37" s="70">
        <f t="shared" si="7"/>
        <v>0</v>
      </c>
      <c r="T37" s="70">
        <f t="shared" si="8"/>
        <v>0</v>
      </c>
      <c r="U37" s="70">
        <f t="shared" si="9"/>
        <v>0</v>
      </c>
    </row>
    <row r="38" ht="15.0" customHeight="1">
      <c r="A38" s="12" t="s">
        <v>51</v>
      </c>
      <c r="B38" s="76" t="s">
        <v>138</v>
      </c>
      <c r="C38" s="72">
        <f>Avaliacao_Humana!AL8</f>
        <v>2</v>
      </c>
      <c r="D38" s="72">
        <f>ChatGPT_ZeroShot!AL8</f>
        <v>5</v>
      </c>
      <c r="E38" s="72">
        <f>ChatGPT_FewShot!AL8</f>
        <v>2</v>
      </c>
      <c r="F38" s="72">
        <f>ChatGPT_CoT!AL8</f>
        <v>5</v>
      </c>
      <c r="G38" s="72">
        <f>Gemini_ZeroShot!AL8</f>
        <v>1</v>
      </c>
      <c r="H38" s="72">
        <f>Gemini_FewShot!AL8</f>
        <v>5</v>
      </c>
      <c r="I38" s="72">
        <f>Gemini_CoT!AL8</f>
        <v>1</v>
      </c>
      <c r="J38" s="72">
        <f>Claude_ZeroShot!AL8</f>
        <v>5</v>
      </c>
      <c r="K38" s="72">
        <f>Claude_FewShot!AL8</f>
        <v>1</v>
      </c>
      <c r="L38" s="72">
        <f>Claude_CoT!AL8</f>
        <v>1</v>
      </c>
      <c r="M38" s="72">
        <f t="shared" si="1"/>
        <v>3</v>
      </c>
      <c r="N38" s="72">
        <f t="shared" si="2"/>
        <v>0</v>
      </c>
      <c r="O38" s="72">
        <f t="shared" si="3"/>
        <v>3</v>
      </c>
      <c r="P38" s="72">
        <f t="shared" si="4"/>
        <v>1</v>
      </c>
      <c r="Q38" s="72">
        <f t="shared" si="5"/>
        <v>3</v>
      </c>
      <c r="R38" s="72">
        <f t="shared" si="6"/>
        <v>1</v>
      </c>
      <c r="S38" s="72">
        <f t="shared" si="7"/>
        <v>3</v>
      </c>
      <c r="T38" s="72">
        <f t="shared" si="8"/>
        <v>1</v>
      </c>
      <c r="U38" s="72">
        <f t="shared" si="9"/>
        <v>1</v>
      </c>
    </row>
    <row r="39" ht="15.0" customHeight="1">
      <c r="A39" s="29" t="s">
        <v>53</v>
      </c>
      <c r="B39" s="69" t="s">
        <v>133</v>
      </c>
      <c r="C39" s="70">
        <f>Avaliacao_Humana!H9</f>
        <v>1</v>
      </c>
      <c r="D39" s="70">
        <f>ChatGPT_ZeroShot!H9</f>
        <v>1</v>
      </c>
      <c r="E39" s="70">
        <f>ChatGPT_FewShot!H9</f>
        <v>1</v>
      </c>
      <c r="F39" s="70">
        <f>ChatGPT_CoT!H9</f>
        <v>1</v>
      </c>
      <c r="G39" s="70">
        <f>Gemini_ZeroShot!H9</f>
        <v>1</v>
      </c>
      <c r="H39" s="70">
        <f>Gemini_FewShot!H9</f>
        <v>1</v>
      </c>
      <c r="I39" s="70">
        <f>Gemini_CoT!H9</f>
        <v>1</v>
      </c>
      <c r="J39" s="70">
        <f>Claude_ZeroShot!H9</f>
        <v>1</v>
      </c>
      <c r="K39" s="70">
        <f>Claude_FewShot!H9</f>
        <v>1</v>
      </c>
      <c r="L39" s="70">
        <f>Claude_CoT!H9</f>
        <v>1</v>
      </c>
      <c r="M39" s="70">
        <f t="shared" si="1"/>
        <v>0</v>
      </c>
      <c r="N39" s="70">
        <f t="shared" si="2"/>
        <v>0</v>
      </c>
      <c r="O39" s="70">
        <f t="shared" si="3"/>
        <v>0</v>
      </c>
      <c r="P39" s="70">
        <f t="shared" si="4"/>
        <v>0</v>
      </c>
      <c r="Q39" s="70">
        <f t="shared" si="5"/>
        <v>0</v>
      </c>
      <c r="R39" s="70">
        <f t="shared" si="6"/>
        <v>0</v>
      </c>
      <c r="S39" s="70">
        <f t="shared" si="7"/>
        <v>0</v>
      </c>
      <c r="T39" s="70">
        <f t="shared" si="8"/>
        <v>0</v>
      </c>
      <c r="U39" s="70">
        <f t="shared" si="9"/>
        <v>0</v>
      </c>
    </row>
    <row r="40" ht="15.0" customHeight="1">
      <c r="A40" s="12" t="s">
        <v>53</v>
      </c>
      <c r="B40" s="71" t="s">
        <v>134</v>
      </c>
      <c r="C40" s="72">
        <f>Avaliacao_Humana!N9</f>
        <v>0</v>
      </c>
      <c r="D40" s="72">
        <f>ChatGPT_ZeroShot!N9</f>
        <v>0</v>
      </c>
      <c r="E40" s="72">
        <f>ChatGPT_FewShot!N9</f>
        <v>0</v>
      </c>
      <c r="F40" s="72">
        <f>ChatGPT_CoT!N9</f>
        <v>0</v>
      </c>
      <c r="G40" s="72">
        <f>Gemini_ZeroShot!N9</f>
        <v>0</v>
      </c>
      <c r="H40" s="72">
        <f>Gemini_FewShot!N9</f>
        <v>0</v>
      </c>
      <c r="I40" s="72">
        <f>Gemini_CoT!N9</f>
        <v>0</v>
      </c>
      <c r="J40" s="72">
        <f>Claude_ZeroShot!N9</f>
        <v>0</v>
      </c>
      <c r="K40" s="72">
        <f>Claude_FewShot!N9</f>
        <v>0</v>
      </c>
      <c r="L40" s="72">
        <f>Claude_CoT!N9</f>
        <v>0</v>
      </c>
      <c r="M40" s="72">
        <f t="shared" si="1"/>
        <v>0</v>
      </c>
      <c r="N40" s="72">
        <f t="shared" si="2"/>
        <v>0</v>
      </c>
      <c r="O40" s="72">
        <f t="shared" si="3"/>
        <v>0</v>
      </c>
      <c r="P40" s="72">
        <f t="shared" si="4"/>
        <v>0</v>
      </c>
      <c r="Q40" s="72">
        <f t="shared" si="5"/>
        <v>0</v>
      </c>
      <c r="R40" s="72">
        <f t="shared" si="6"/>
        <v>0</v>
      </c>
      <c r="S40" s="72">
        <f t="shared" si="7"/>
        <v>0</v>
      </c>
      <c r="T40" s="72">
        <f t="shared" si="8"/>
        <v>0</v>
      </c>
      <c r="U40" s="72">
        <f t="shared" si="9"/>
        <v>0</v>
      </c>
    </row>
    <row r="41" ht="15.0" customHeight="1">
      <c r="A41" s="29" t="s">
        <v>53</v>
      </c>
      <c r="B41" s="73" t="s">
        <v>135</v>
      </c>
      <c r="C41" s="70">
        <f>Avaliacao_Humana!T9</f>
        <v>1</v>
      </c>
      <c r="D41" s="70">
        <f>ChatGPT_ZeroShot!T9</f>
        <v>3</v>
      </c>
      <c r="E41" s="70">
        <f>ChatGPT_FewShot!T9</f>
        <v>0</v>
      </c>
      <c r="F41" s="70">
        <f>ChatGPT_CoT!T9</f>
        <v>2</v>
      </c>
      <c r="G41" s="70">
        <f>Gemini_ZeroShot!T9</f>
        <v>0</v>
      </c>
      <c r="H41" s="70">
        <f>Gemini_FewShot!T9</f>
        <v>2</v>
      </c>
      <c r="I41" s="70">
        <f>Gemini_CoT!T9</f>
        <v>0</v>
      </c>
      <c r="J41" s="70">
        <f>Claude_ZeroShot!T9</f>
        <v>1</v>
      </c>
      <c r="K41" s="70">
        <f>Claude_FewShot!T9</f>
        <v>0</v>
      </c>
      <c r="L41" s="70">
        <f>Claude_CoT!T9</f>
        <v>1</v>
      </c>
      <c r="M41" s="70">
        <f t="shared" si="1"/>
        <v>2</v>
      </c>
      <c r="N41" s="70">
        <f t="shared" si="2"/>
        <v>1</v>
      </c>
      <c r="O41" s="70">
        <f t="shared" si="3"/>
        <v>1</v>
      </c>
      <c r="P41" s="70">
        <f t="shared" si="4"/>
        <v>1</v>
      </c>
      <c r="Q41" s="70">
        <f t="shared" si="5"/>
        <v>1</v>
      </c>
      <c r="R41" s="70">
        <f t="shared" si="6"/>
        <v>1</v>
      </c>
      <c r="S41" s="70">
        <f t="shared" si="7"/>
        <v>0</v>
      </c>
      <c r="T41" s="70">
        <f t="shared" si="8"/>
        <v>1</v>
      </c>
      <c r="U41" s="70">
        <f t="shared" si="9"/>
        <v>0</v>
      </c>
    </row>
    <row r="42" ht="15.0" customHeight="1">
      <c r="A42" s="12" t="s">
        <v>53</v>
      </c>
      <c r="B42" s="74" t="s">
        <v>136</v>
      </c>
      <c r="C42" s="72">
        <f>Avaliacao_Humana!Z9</f>
        <v>0</v>
      </c>
      <c r="D42" s="72">
        <f>ChatGPT_ZeroShot!Z9</f>
        <v>0</v>
      </c>
      <c r="E42" s="72">
        <f>ChatGPT_FewShot!Z9</f>
        <v>0</v>
      </c>
      <c r="F42" s="72">
        <f>ChatGPT_CoT!Z9</f>
        <v>0</v>
      </c>
      <c r="G42" s="72">
        <f>Gemini_ZeroShot!Z9</f>
        <v>0</v>
      </c>
      <c r="H42" s="72">
        <f>Gemini_FewShot!Z9</f>
        <v>0</v>
      </c>
      <c r="I42" s="72">
        <f>Gemini_CoT!Z9</f>
        <v>0</v>
      </c>
      <c r="J42" s="72">
        <f>Claude_ZeroShot!Z9</f>
        <v>1</v>
      </c>
      <c r="K42" s="72">
        <f>Claude_FewShot!Z9</f>
        <v>0</v>
      </c>
      <c r="L42" s="72">
        <f>Claude_CoT!Z9</f>
        <v>0</v>
      </c>
      <c r="M42" s="72">
        <f t="shared" si="1"/>
        <v>0</v>
      </c>
      <c r="N42" s="72">
        <f t="shared" si="2"/>
        <v>0</v>
      </c>
      <c r="O42" s="72">
        <f t="shared" si="3"/>
        <v>0</v>
      </c>
      <c r="P42" s="72">
        <f t="shared" si="4"/>
        <v>0</v>
      </c>
      <c r="Q42" s="72">
        <f t="shared" si="5"/>
        <v>0</v>
      </c>
      <c r="R42" s="72">
        <f t="shared" si="6"/>
        <v>0</v>
      </c>
      <c r="S42" s="72">
        <f t="shared" si="7"/>
        <v>1</v>
      </c>
      <c r="T42" s="72">
        <f t="shared" si="8"/>
        <v>0</v>
      </c>
      <c r="U42" s="72">
        <f t="shared" si="9"/>
        <v>0</v>
      </c>
    </row>
    <row r="43" ht="15.0" customHeight="1">
      <c r="A43" s="29" t="s">
        <v>53</v>
      </c>
      <c r="B43" s="75" t="s">
        <v>137</v>
      </c>
      <c r="C43" s="70">
        <f>Avaliacao_Humana!AF9</f>
        <v>0</v>
      </c>
      <c r="D43" s="70">
        <f>ChatGPT_ZeroShot!AF9</f>
        <v>0</v>
      </c>
      <c r="E43" s="70">
        <f>ChatGPT_FewShot!AF9</f>
        <v>0</v>
      </c>
      <c r="F43" s="70">
        <f>ChatGPT_CoT!AF9</f>
        <v>0</v>
      </c>
      <c r="G43" s="70">
        <f>Gemini_ZeroShot!AF9</f>
        <v>0</v>
      </c>
      <c r="H43" s="70">
        <f>Gemini_FewShot!AF9</f>
        <v>0</v>
      </c>
      <c r="I43" s="70">
        <f>Gemini_CoT!AF9</f>
        <v>0</v>
      </c>
      <c r="J43" s="70">
        <f>Claude_ZeroShot!AF9</f>
        <v>0</v>
      </c>
      <c r="K43" s="70">
        <f>Claude_FewShot!AF9</f>
        <v>0</v>
      </c>
      <c r="L43" s="70">
        <f>Claude_CoT!AF9</f>
        <v>0</v>
      </c>
      <c r="M43" s="70">
        <f t="shared" si="1"/>
        <v>0</v>
      </c>
      <c r="N43" s="70">
        <f t="shared" si="2"/>
        <v>0</v>
      </c>
      <c r="O43" s="70">
        <f t="shared" si="3"/>
        <v>0</v>
      </c>
      <c r="P43" s="70">
        <f t="shared" si="4"/>
        <v>0</v>
      </c>
      <c r="Q43" s="70">
        <f t="shared" si="5"/>
        <v>0</v>
      </c>
      <c r="R43" s="70">
        <f t="shared" si="6"/>
        <v>0</v>
      </c>
      <c r="S43" s="70">
        <f t="shared" si="7"/>
        <v>0</v>
      </c>
      <c r="T43" s="70">
        <f t="shared" si="8"/>
        <v>0</v>
      </c>
      <c r="U43" s="70">
        <f t="shared" si="9"/>
        <v>0</v>
      </c>
    </row>
    <row r="44" ht="15.0" customHeight="1">
      <c r="A44" s="12" t="s">
        <v>53</v>
      </c>
      <c r="B44" s="76" t="s">
        <v>138</v>
      </c>
      <c r="C44" s="72">
        <f>Avaliacao_Humana!AL9</f>
        <v>2</v>
      </c>
      <c r="D44" s="72">
        <f>ChatGPT_ZeroShot!AL9</f>
        <v>4</v>
      </c>
      <c r="E44" s="72">
        <f>ChatGPT_FewShot!AL9</f>
        <v>1</v>
      </c>
      <c r="F44" s="72">
        <f>ChatGPT_CoT!AL9</f>
        <v>4</v>
      </c>
      <c r="G44" s="72">
        <f>Gemini_ZeroShot!AL9</f>
        <v>0</v>
      </c>
      <c r="H44" s="72">
        <f>Gemini_FewShot!AL9</f>
        <v>4</v>
      </c>
      <c r="I44" s="72">
        <f>Gemini_CoT!AL9</f>
        <v>0</v>
      </c>
      <c r="J44" s="72">
        <f>Claude_ZeroShot!AL9</f>
        <v>4</v>
      </c>
      <c r="K44" s="72">
        <f>Claude_FewShot!AL9</f>
        <v>0</v>
      </c>
      <c r="L44" s="72">
        <f>Claude_CoT!AL9</f>
        <v>0</v>
      </c>
      <c r="M44" s="72">
        <f t="shared" si="1"/>
        <v>2</v>
      </c>
      <c r="N44" s="72">
        <f t="shared" si="2"/>
        <v>1</v>
      </c>
      <c r="O44" s="72">
        <f t="shared" si="3"/>
        <v>2</v>
      </c>
      <c r="P44" s="72">
        <f t="shared" si="4"/>
        <v>2</v>
      </c>
      <c r="Q44" s="72">
        <f t="shared" si="5"/>
        <v>2</v>
      </c>
      <c r="R44" s="72">
        <f t="shared" si="6"/>
        <v>2</v>
      </c>
      <c r="S44" s="72">
        <f t="shared" si="7"/>
        <v>2</v>
      </c>
      <c r="T44" s="72">
        <f t="shared" si="8"/>
        <v>2</v>
      </c>
      <c r="U44" s="72">
        <f t="shared" si="9"/>
        <v>2</v>
      </c>
    </row>
    <row r="45" ht="15.0" customHeight="1">
      <c r="A45" s="29" t="s">
        <v>55</v>
      </c>
      <c r="B45" s="69" t="s">
        <v>133</v>
      </c>
      <c r="C45" s="70">
        <f>Avaliacao_Humana!H10</f>
        <v>0</v>
      </c>
      <c r="D45" s="70">
        <f>ChatGPT_ZeroShot!H10</f>
        <v>0</v>
      </c>
      <c r="E45" s="70">
        <f>ChatGPT_FewShot!H10</f>
        <v>0</v>
      </c>
      <c r="F45" s="70">
        <f>ChatGPT_CoT!H10</f>
        <v>0</v>
      </c>
      <c r="G45" s="70">
        <f>Gemini_ZeroShot!H10</f>
        <v>0</v>
      </c>
      <c r="H45" s="70">
        <f>Gemini_FewShot!H10</f>
        <v>0</v>
      </c>
      <c r="I45" s="70">
        <f>Gemini_CoT!H10</f>
        <v>0</v>
      </c>
      <c r="J45" s="70">
        <f>Claude_ZeroShot!H10</f>
        <v>0</v>
      </c>
      <c r="K45" s="70">
        <f>Claude_FewShot!H10</f>
        <v>0</v>
      </c>
      <c r="L45" s="70">
        <f>Claude_CoT!H10</f>
        <v>0</v>
      </c>
      <c r="M45" s="70">
        <f t="shared" si="1"/>
        <v>0</v>
      </c>
      <c r="N45" s="70">
        <f t="shared" si="2"/>
        <v>0</v>
      </c>
      <c r="O45" s="70">
        <f t="shared" si="3"/>
        <v>0</v>
      </c>
      <c r="P45" s="70">
        <f t="shared" si="4"/>
        <v>0</v>
      </c>
      <c r="Q45" s="70">
        <f t="shared" si="5"/>
        <v>0</v>
      </c>
      <c r="R45" s="70">
        <f t="shared" si="6"/>
        <v>0</v>
      </c>
      <c r="S45" s="70">
        <f t="shared" si="7"/>
        <v>0</v>
      </c>
      <c r="T45" s="70">
        <f t="shared" si="8"/>
        <v>0</v>
      </c>
      <c r="U45" s="70">
        <f t="shared" si="9"/>
        <v>0</v>
      </c>
    </row>
    <row r="46" ht="15.0" customHeight="1">
      <c r="A46" s="12" t="s">
        <v>55</v>
      </c>
      <c r="B46" s="71" t="s">
        <v>134</v>
      </c>
      <c r="C46" s="72">
        <f>Avaliacao_Humana!N10</f>
        <v>0</v>
      </c>
      <c r="D46" s="72">
        <f>ChatGPT_ZeroShot!N10</f>
        <v>0</v>
      </c>
      <c r="E46" s="72">
        <f>ChatGPT_FewShot!N10</f>
        <v>0</v>
      </c>
      <c r="F46" s="72">
        <f>ChatGPT_CoT!N10</f>
        <v>0</v>
      </c>
      <c r="G46" s="72">
        <f>Gemini_ZeroShot!N10</f>
        <v>0</v>
      </c>
      <c r="H46" s="72">
        <f>Gemini_FewShot!N10</f>
        <v>0</v>
      </c>
      <c r="I46" s="72">
        <f>Gemini_CoT!N10</f>
        <v>0</v>
      </c>
      <c r="J46" s="72">
        <f>Claude_ZeroShot!N10</f>
        <v>0</v>
      </c>
      <c r="K46" s="72">
        <f>Claude_FewShot!N10</f>
        <v>0</v>
      </c>
      <c r="L46" s="72">
        <f>Claude_CoT!N10</f>
        <v>0</v>
      </c>
      <c r="M46" s="72">
        <f t="shared" si="1"/>
        <v>0</v>
      </c>
      <c r="N46" s="72">
        <f t="shared" si="2"/>
        <v>0</v>
      </c>
      <c r="O46" s="72">
        <f t="shared" si="3"/>
        <v>0</v>
      </c>
      <c r="P46" s="72">
        <f t="shared" si="4"/>
        <v>0</v>
      </c>
      <c r="Q46" s="72">
        <f t="shared" si="5"/>
        <v>0</v>
      </c>
      <c r="R46" s="72">
        <f t="shared" si="6"/>
        <v>0</v>
      </c>
      <c r="S46" s="72">
        <f t="shared" si="7"/>
        <v>0</v>
      </c>
      <c r="T46" s="72">
        <f t="shared" si="8"/>
        <v>0</v>
      </c>
      <c r="U46" s="72">
        <f t="shared" si="9"/>
        <v>0</v>
      </c>
    </row>
    <row r="47" ht="15.0" customHeight="1">
      <c r="A47" s="29" t="s">
        <v>55</v>
      </c>
      <c r="B47" s="73" t="s">
        <v>135</v>
      </c>
      <c r="C47" s="70">
        <f>Avaliacao_Humana!T10</f>
        <v>1</v>
      </c>
      <c r="D47" s="70">
        <f>ChatGPT_ZeroShot!T10</f>
        <v>1</v>
      </c>
      <c r="E47" s="70">
        <f>ChatGPT_FewShot!T10</f>
        <v>0</v>
      </c>
      <c r="F47" s="70">
        <f>ChatGPT_CoT!T10</f>
        <v>1</v>
      </c>
      <c r="G47" s="70">
        <f>Gemini_ZeroShot!T10</f>
        <v>0</v>
      </c>
      <c r="H47" s="70">
        <f>Gemini_FewShot!T10</f>
        <v>1</v>
      </c>
      <c r="I47" s="70">
        <f>Gemini_CoT!T10</f>
        <v>0</v>
      </c>
      <c r="J47" s="70">
        <f>Claude_ZeroShot!T10</f>
        <v>1</v>
      </c>
      <c r="K47" s="70">
        <f>Claude_FewShot!T10</f>
        <v>0</v>
      </c>
      <c r="L47" s="70">
        <f>Claude_CoT!T10</f>
        <v>1</v>
      </c>
      <c r="M47" s="70">
        <f t="shared" si="1"/>
        <v>0</v>
      </c>
      <c r="N47" s="70">
        <f t="shared" si="2"/>
        <v>1</v>
      </c>
      <c r="O47" s="70">
        <f t="shared" si="3"/>
        <v>0</v>
      </c>
      <c r="P47" s="70">
        <f t="shared" si="4"/>
        <v>1</v>
      </c>
      <c r="Q47" s="70">
        <f t="shared" si="5"/>
        <v>0</v>
      </c>
      <c r="R47" s="70">
        <f t="shared" si="6"/>
        <v>1</v>
      </c>
      <c r="S47" s="70">
        <f t="shared" si="7"/>
        <v>0</v>
      </c>
      <c r="T47" s="70">
        <f t="shared" si="8"/>
        <v>1</v>
      </c>
      <c r="U47" s="70">
        <f t="shared" si="9"/>
        <v>0</v>
      </c>
    </row>
    <row r="48" ht="15.0" customHeight="1">
      <c r="A48" s="12" t="s">
        <v>55</v>
      </c>
      <c r="B48" s="74" t="s">
        <v>136</v>
      </c>
      <c r="C48" s="72">
        <f>Avaliacao_Humana!Z10</f>
        <v>0</v>
      </c>
      <c r="D48" s="72">
        <f>ChatGPT_ZeroShot!Z10</f>
        <v>1</v>
      </c>
      <c r="E48" s="72">
        <f>ChatGPT_FewShot!Z10</f>
        <v>1</v>
      </c>
      <c r="F48" s="72">
        <f>ChatGPT_CoT!Z10</f>
        <v>1</v>
      </c>
      <c r="G48" s="72">
        <f>Gemini_ZeroShot!Z10</f>
        <v>1</v>
      </c>
      <c r="H48" s="72">
        <f>Gemini_FewShot!Z10</f>
        <v>1</v>
      </c>
      <c r="I48" s="72">
        <f>Gemini_CoT!Z10</f>
        <v>1</v>
      </c>
      <c r="J48" s="72">
        <f>Claude_ZeroShot!Z10</f>
        <v>1</v>
      </c>
      <c r="K48" s="72">
        <f>Claude_FewShot!Z10</f>
        <v>1</v>
      </c>
      <c r="L48" s="72">
        <f>Claude_CoT!Z10</f>
        <v>1</v>
      </c>
      <c r="M48" s="72">
        <f t="shared" si="1"/>
        <v>1</v>
      </c>
      <c r="N48" s="72">
        <f t="shared" si="2"/>
        <v>1</v>
      </c>
      <c r="O48" s="72">
        <f t="shared" si="3"/>
        <v>1</v>
      </c>
      <c r="P48" s="72">
        <f t="shared" si="4"/>
        <v>1</v>
      </c>
      <c r="Q48" s="72">
        <f t="shared" si="5"/>
        <v>1</v>
      </c>
      <c r="R48" s="72">
        <f t="shared" si="6"/>
        <v>1</v>
      </c>
      <c r="S48" s="72">
        <f t="shared" si="7"/>
        <v>1</v>
      </c>
      <c r="T48" s="72">
        <f t="shared" si="8"/>
        <v>1</v>
      </c>
      <c r="U48" s="72">
        <f t="shared" si="9"/>
        <v>1</v>
      </c>
    </row>
    <row r="49" ht="15.0" customHeight="1">
      <c r="A49" s="29" t="s">
        <v>55</v>
      </c>
      <c r="B49" s="75" t="s">
        <v>137</v>
      </c>
      <c r="C49" s="70">
        <f>Avaliacao_Humana!AF10</f>
        <v>0</v>
      </c>
      <c r="D49" s="70">
        <f>ChatGPT_ZeroShot!AF10</f>
        <v>0</v>
      </c>
      <c r="E49" s="70">
        <f>ChatGPT_FewShot!AF10</f>
        <v>0</v>
      </c>
      <c r="F49" s="70">
        <f>ChatGPT_CoT!AF10</f>
        <v>0</v>
      </c>
      <c r="G49" s="70">
        <f>Gemini_ZeroShot!AF10</f>
        <v>0</v>
      </c>
      <c r="H49" s="70">
        <f>Gemini_FewShot!AF10</f>
        <v>0</v>
      </c>
      <c r="I49" s="70">
        <f>Gemini_CoT!AF10</f>
        <v>0</v>
      </c>
      <c r="J49" s="70">
        <f>Claude_ZeroShot!AF10</f>
        <v>0</v>
      </c>
      <c r="K49" s="70">
        <f>Claude_FewShot!AF10</f>
        <v>0</v>
      </c>
      <c r="L49" s="70">
        <f>Claude_CoT!AF10</f>
        <v>0</v>
      </c>
      <c r="M49" s="70">
        <f t="shared" si="1"/>
        <v>0</v>
      </c>
      <c r="N49" s="70">
        <f t="shared" si="2"/>
        <v>0</v>
      </c>
      <c r="O49" s="70">
        <f t="shared" si="3"/>
        <v>0</v>
      </c>
      <c r="P49" s="70">
        <f t="shared" si="4"/>
        <v>0</v>
      </c>
      <c r="Q49" s="70">
        <f t="shared" si="5"/>
        <v>0</v>
      </c>
      <c r="R49" s="70">
        <f t="shared" si="6"/>
        <v>0</v>
      </c>
      <c r="S49" s="70">
        <f t="shared" si="7"/>
        <v>0</v>
      </c>
      <c r="T49" s="70">
        <f t="shared" si="8"/>
        <v>0</v>
      </c>
      <c r="U49" s="70">
        <f t="shared" si="9"/>
        <v>0</v>
      </c>
    </row>
    <row r="50" ht="15.0" customHeight="1">
      <c r="A50" s="12" t="s">
        <v>55</v>
      </c>
      <c r="B50" s="76" t="s">
        <v>138</v>
      </c>
      <c r="C50" s="72">
        <f>Avaliacao_Humana!AL10</f>
        <v>2</v>
      </c>
      <c r="D50" s="72">
        <f>ChatGPT_ZeroShot!AL10</f>
        <v>4</v>
      </c>
      <c r="E50" s="72">
        <f>ChatGPT_FewShot!AL10</f>
        <v>1</v>
      </c>
      <c r="F50" s="72">
        <f>ChatGPT_CoT!AL10</f>
        <v>4</v>
      </c>
      <c r="G50" s="72">
        <f>Gemini_ZeroShot!AL10</f>
        <v>0</v>
      </c>
      <c r="H50" s="72">
        <f>Gemini_FewShot!AL10</f>
        <v>4</v>
      </c>
      <c r="I50" s="72">
        <f>Gemini_CoT!AL10</f>
        <v>0</v>
      </c>
      <c r="J50" s="72">
        <f>Claude_ZeroShot!AL10</f>
        <v>4</v>
      </c>
      <c r="K50" s="72">
        <f>Claude_FewShot!AL10</f>
        <v>0</v>
      </c>
      <c r="L50" s="72">
        <f>Claude_CoT!AL10</f>
        <v>0</v>
      </c>
      <c r="M50" s="72">
        <f t="shared" si="1"/>
        <v>2</v>
      </c>
      <c r="N50" s="72">
        <f t="shared" si="2"/>
        <v>1</v>
      </c>
      <c r="O50" s="72">
        <f t="shared" si="3"/>
        <v>2</v>
      </c>
      <c r="P50" s="72">
        <f t="shared" si="4"/>
        <v>2</v>
      </c>
      <c r="Q50" s="72">
        <f t="shared" si="5"/>
        <v>2</v>
      </c>
      <c r="R50" s="72">
        <f t="shared" si="6"/>
        <v>2</v>
      </c>
      <c r="S50" s="72">
        <f t="shared" si="7"/>
        <v>2</v>
      </c>
      <c r="T50" s="72">
        <f t="shared" si="8"/>
        <v>2</v>
      </c>
      <c r="U50" s="72">
        <f t="shared" si="9"/>
        <v>2</v>
      </c>
    </row>
    <row r="51" ht="15.0" customHeight="1">
      <c r="A51" s="29" t="s">
        <v>57</v>
      </c>
      <c r="B51" s="69" t="s">
        <v>133</v>
      </c>
      <c r="C51" s="70">
        <f>Avaliacao_Humana!H11</f>
        <v>2</v>
      </c>
      <c r="D51" s="70">
        <f>ChatGPT_ZeroShot!H11</f>
        <v>1</v>
      </c>
      <c r="E51" s="70">
        <f>ChatGPT_FewShot!H11</f>
        <v>0</v>
      </c>
      <c r="F51" s="70">
        <f>ChatGPT_CoT!H11</f>
        <v>1</v>
      </c>
      <c r="G51" s="70">
        <f>Gemini_ZeroShot!H11</f>
        <v>1</v>
      </c>
      <c r="H51" s="70">
        <f>Gemini_FewShot!H11</f>
        <v>1</v>
      </c>
      <c r="I51" s="70">
        <f>Gemini_CoT!H11</f>
        <v>1</v>
      </c>
      <c r="J51" s="70">
        <f>Claude_ZeroShot!H11</f>
        <v>1</v>
      </c>
      <c r="K51" s="70">
        <f>Claude_FewShot!H11</f>
        <v>1</v>
      </c>
      <c r="L51" s="70">
        <f>Claude_CoT!H11</f>
        <v>2</v>
      </c>
      <c r="M51" s="70">
        <f t="shared" si="1"/>
        <v>1</v>
      </c>
      <c r="N51" s="70">
        <f t="shared" si="2"/>
        <v>2</v>
      </c>
      <c r="O51" s="70">
        <f t="shared" si="3"/>
        <v>1</v>
      </c>
      <c r="P51" s="70">
        <f t="shared" si="4"/>
        <v>1</v>
      </c>
      <c r="Q51" s="70">
        <f t="shared" si="5"/>
        <v>1</v>
      </c>
      <c r="R51" s="70">
        <f t="shared" si="6"/>
        <v>1</v>
      </c>
      <c r="S51" s="70">
        <f t="shared" si="7"/>
        <v>1</v>
      </c>
      <c r="T51" s="70">
        <f t="shared" si="8"/>
        <v>1</v>
      </c>
      <c r="U51" s="70">
        <f t="shared" si="9"/>
        <v>0</v>
      </c>
    </row>
    <row r="52" ht="15.0" customHeight="1">
      <c r="A52" s="12" t="s">
        <v>57</v>
      </c>
      <c r="B52" s="71" t="s">
        <v>134</v>
      </c>
      <c r="C52" s="72">
        <f>Avaliacao_Humana!N11</f>
        <v>0</v>
      </c>
      <c r="D52" s="72">
        <f>ChatGPT_ZeroShot!N11</f>
        <v>0</v>
      </c>
      <c r="E52" s="72">
        <f>ChatGPT_FewShot!N11</f>
        <v>0</v>
      </c>
      <c r="F52" s="72">
        <f>ChatGPT_CoT!N11</f>
        <v>0</v>
      </c>
      <c r="G52" s="72">
        <f>Gemini_ZeroShot!N11</f>
        <v>0</v>
      </c>
      <c r="H52" s="72">
        <f>Gemini_FewShot!N11</f>
        <v>0</v>
      </c>
      <c r="I52" s="72">
        <f>Gemini_CoT!N11</f>
        <v>0</v>
      </c>
      <c r="J52" s="72">
        <f>Claude_ZeroShot!N11</f>
        <v>0</v>
      </c>
      <c r="K52" s="72">
        <f>Claude_FewShot!N11</f>
        <v>0</v>
      </c>
      <c r="L52" s="72">
        <f>Claude_CoT!N11</f>
        <v>0</v>
      </c>
      <c r="M52" s="72">
        <f t="shared" si="1"/>
        <v>0</v>
      </c>
      <c r="N52" s="72">
        <f t="shared" si="2"/>
        <v>0</v>
      </c>
      <c r="O52" s="72">
        <f t="shared" si="3"/>
        <v>0</v>
      </c>
      <c r="P52" s="72">
        <f t="shared" si="4"/>
        <v>0</v>
      </c>
      <c r="Q52" s="72">
        <f t="shared" si="5"/>
        <v>0</v>
      </c>
      <c r="R52" s="72">
        <f t="shared" si="6"/>
        <v>0</v>
      </c>
      <c r="S52" s="72">
        <f t="shared" si="7"/>
        <v>0</v>
      </c>
      <c r="T52" s="72">
        <f t="shared" si="8"/>
        <v>0</v>
      </c>
      <c r="U52" s="72">
        <f t="shared" si="9"/>
        <v>0</v>
      </c>
    </row>
    <row r="53" ht="15.0" customHeight="1">
      <c r="A53" s="29" t="s">
        <v>57</v>
      </c>
      <c r="B53" s="73" t="s">
        <v>135</v>
      </c>
      <c r="C53" s="70">
        <f>Avaliacao_Humana!T11</f>
        <v>1</v>
      </c>
      <c r="D53" s="70">
        <f>ChatGPT_ZeroShot!T11</f>
        <v>0</v>
      </c>
      <c r="E53" s="70">
        <f>ChatGPT_FewShot!T11</f>
        <v>0</v>
      </c>
      <c r="F53" s="70">
        <f>ChatGPT_CoT!T11</f>
        <v>0</v>
      </c>
      <c r="G53" s="70">
        <f>Gemini_ZeroShot!T11</f>
        <v>0</v>
      </c>
      <c r="H53" s="70">
        <f>Gemini_FewShot!T11</f>
        <v>1</v>
      </c>
      <c r="I53" s="70">
        <f>Gemini_CoT!T11</f>
        <v>0</v>
      </c>
      <c r="J53" s="70">
        <f>Claude_ZeroShot!T11</f>
        <v>1</v>
      </c>
      <c r="K53" s="70">
        <f>Claude_FewShot!T11</f>
        <v>0</v>
      </c>
      <c r="L53" s="70">
        <f>Claude_CoT!T11</f>
        <v>1</v>
      </c>
      <c r="M53" s="70">
        <f t="shared" si="1"/>
        <v>1</v>
      </c>
      <c r="N53" s="70">
        <f t="shared" si="2"/>
        <v>1</v>
      </c>
      <c r="O53" s="70">
        <f t="shared" si="3"/>
        <v>1</v>
      </c>
      <c r="P53" s="70">
        <f t="shared" si="4"/>
        <v>1</v>
      </c>
      <c r="Q53" s="70">
        <f t="shared" si="5"/>
        <v>0</v>
      </c>
      <c r="R53" s="70">
        <f t="shared" si="6"/>
        <v>1</v>
      </c>
      <c r="S53" s="70">
        <f t="shared" si="7"/>
        <v>0</v>
      </c>
      <c r="T53" s="70">
        <f t="shared" si="8"/>
        <v>1</v>
      </c>
      <c r="U53" s="70">
        <f t="shared" si="9"/>
        <v>0</v>
      </c>
    </row>
    <row r="54" ht="15.0" customHeight="1">
      <c r="A54" s="12" t="s">
        <v>57</v>
      </c>
      <c r="B54" s="74" t="s">
        <v>136</v>
      </c>
      <c r="C54" s="72">
        <f>Avaliacao_Humana!Z11</f>
        <v>1</v>
      </c>
      <c r="D54" s="72">
        <f>ChatGPT_ZeroShot!Z11</f>
        <v>1</v>
      </c>
      <c r="E54" s="72">
        <f>ChatGPT_FewShot!Z11</f>
        <v>1</v>
      </c>
      <c r="F54" s="72">
        <f>ChatGPT_CoT!Z11</f>
        <v>1</v>
      </c>
      <c r="G54" s="72">
        <f>Gemini_ZeroShot!Z11</f>
        <v>1</v>
      </c>
      <c r="H54" s="72">
        <f>Gemini_FewShot!Z11</f>
        <v>1</v>
      </c>
      <c r="I54" s="72">
        <f>Gemini_CoT!Z11</f>
        <v>1</v>
      </c>
      <c r="J54" s="72">
        <f>Claude_ZeroShot!Z11</f>
        <v>1</v>
      </c>
      <c r="K54" s="72">
        <f>Claude_FewShot!Z11</f>
        <v>1</v>
      </c>
      <c r="L54" s="72">
        <f>Claude_CoT!Z11</f>
        <v>1</v>
      </c>
      <c r="M54" s="72">
        <f t="shared" si="1"/>
        <v>0</v>
      </c>
      <c r="N54" s="72">
        <f t="shared" si="2"/>
        <v>0</v>
      </c>
      <c r="O54" s="72">
        <f t="shared" si="3"/>
        <v>0</v>
      </c>
      <c r="P54" s="72">
        <f t="shared" si="4"/>
        <v>0</v>
      </c>
      <c r="Q54" s="72">
        <f t="shared" si="5"/>
        <v>0</v>
      </c>
      <c r="R54" s="72">
        <f t="shared" si="6"/>
        <v>0</v>
      </c>
      <c r="S54" s="72">
        <f t="shared" si="7"/>
        <v>0</v>
      </c>
      <c r="T54" s="72">
        <f t="shared" si="8"/>
        <v>0</v>
      </c>
      <c r="U54" s="72">
        <f t="shared" si="9"/>
        <v>0</v>
      </c>
    </row>
    <row r="55" ht="15.0" customHeight="1">
      <c r="A55" s="29" t="s">
        <v>57</v>
      </c>
      <c r="B55" s="75" t="s">
        <v>137</v>
      </c>
      <c r="C55" s="70">
        <f>Avaliacao_Humana!AF11</f>
        <v>0</v>
      </c>
      <c r="D55" s="70">
        <f>ChatGPT_ZeroShot!AF11</f>
        <v>0</v>
      </c>
      <c r="E55" s="70">
        <f>ChatGPT_FewShot!AF11</f>
        <v>0</v>
      </c>
      <c r="F55" s="70">
        <f>ChatGPT_CoT!AF11</f>
        <v>0</v>
      </c>
      <c r="G55" s="70">
        <f>Gemini_ZeroShot!AF11</f>
        <v>0</v>
      </c>
      <c r="H55" s="70">
        <f>Gemini_FewShot!AF11</f>
        <v>0</v>
      </c>
      <c r="I55" s="70">
        <f>Gemini_CoT!AF11</f>
        <v>0</v>
      </c>
      <c r="J55" s="70">
        <f>Claude_ZeroShot!AF11</f>
        <v>0</v>
      </c>
      <c r="K55" s="70">
        <f>Claude_FewShot!AF11</f>
        <v>0</v>
      </c>
      <c r="L55" s="70">
        <f>Claude_CoT!AF11</f>
        <v>0</v>
      </c>
      <c r="M55" s="70">
        <f t="shared" si="1"/>
        <v>0</v>
      </c>
      <c r="N55" s="70">
        <f t="shared" si="2"/>
        <v>0</v>
      </c>
      <c r="O55" s="70">
        <f t="shared" si="3"/>
        <v>0</v>
      </c>
      <c r="P55" s="70">
        <f t="shared" si="4"/>
        <v>0</v>
      </c>
      <c r="Q55" s="70">
        <f t="shared" si="5"/>
        <v>0</v>
      </c>
      <c r="R55" s="70">
        <f t="shared" si="6"/>
        <v>0</v>
      </c>
      <c r="S55" s="70">
        <f t="shared" si="7"/>
        <v>0</v>
      </c>
      <c r="T55" s="70">
        <f t="shared" si="8"/>
        <v>0</v>
      </c>
      <c r="U55" s="70">
        <f t="shared" si="9"/>
        <v>0</v>
      </c>
    </row>
    <row r="56" ht="15.0" customHeight="1">
      <c r="A56" s="12" t="s">
        <v>57</v>
      </c>
      <c r="B56" s="76" t="s">
        <v>138</v>
      </c>
      <c r="C56" s="72">
        <f>Avaliacao_Humana!AL11</f>
        <v>2</v>
      </c>
      <c r="D56" s="72">
        <f>ChatGPT_ZeroShot!AL11</f>
        <v>4</v>
      </c>
      <c r="E56" s="72">
        <f>ChatGPT_FewShot!AL11</f>
        <v>1</v>
      </c>
      <c r="F56" s="72">
        <f>ChatGPT_CoT!AL11</f>
        <v>4</v>
      </c>
      <c r="G56" s="72">
        <f>Gemini_ZeroShot!AL11</f>
        <v>0</v>
      </c>
      <c r="H56" s="72">
        <f>Gemini_FewShot!AL11</f>
        <v>4</v>
      </c>
      <c r="I56" s="72">
        <f>Gemini_CoT!AL11</f>
        <v>0</v>
      </c>
      <c r="J56" s="72">
        <f>Claude_ZeroShot!AL11</f>
        <v>4</v>
      </c>
      <c r="K56" s="72">
        <f>Claude_FewShot!AL11</f>
        <v>0</v>
      </c>
      <c r="L56" s="72">
        <f>Claude_CoT!AL11</f>
        <v>0</v>
      </c>
      <c r="M56" s="72">
        <f t="shared" si="1"/>
        <v>2</v>
      </c>
      <c r="N56" s="72">
        <f t="shared" si="2"/>
        <v>1</v>
      </c>
      <c r="O56" s="72">
        <f t="shared" si="3"/>
        <v>2</v>
      </c>
      <c r="P56" s="72">
        <f t="shared" si="4"/>
        <v>2</v>
      </c>
      <c r="Q56" s="72">
        <f t="shared" si="5"/>
        <v>2</v>
      </c>
      <c r="R56" s="72">
        <f t="shared" si="6"/>
        <v>2</v>
      </c>
      <c r="S56" s="72">
        <f t="shared" si="7"/>
        <v>2</v>
      </c>
      <c r="T56" s="72">
        <f t="shared" si="8"/>
        <v>2</v>
      </c>
      <c r="U56" s="72">
        <f t="shared" si="9"/>
        <v>2</v>
      </c>
    </row>
    <row r="57" ht="15.0" customHeight="1">
      <c r="A57" s="29" t="s">
        <v>59</v>
      </c>
      <c r="B57" s="69" t="s">
        <v>133</v>
      </c>
      <c r="C57" s="70">
        <f>Avaliacao_Humana!H12</f>
        <v>0</v>
      </c>
      <c r="D57" s="70">
        <f>ChatGPT_ZeroShot!H12</f>
        <v>1</v>
      </c>
      <c r="E57" s="70">
        <f>ChatGPT_FewShot!H12</f>
        <v>0</v>
      </c>
      <c r="F57" s="70">
        <f>ChatGPT_CoT!H12</f>
        <v>1</v>
      </c>
      <c r="G57" s="70">
        <f>Gemini_ZeroShot!H12</f>
        <v>1</v>
      </c>
      <c r="H57" s="70">
        <f>Gemini_FewShot!H12</f>
        <v>1</v>
      </c>
      <c r="I57" s="70">
        <f>Gemini_CoT!H12</f>
        <v>1</v>
      </c>
      <c r="J57" s="70">
        <f>Claude_ZeroShot!H12</f>
        <v>1</v>
      </c>
      <c r="K57" s="70">
        <f>Claude_FewShot!H12</f>
        <v>1</v>
      </c>
      <c r="L57" s="70">
        <f>Claude_CoT!H12</f>
        <v>1</v>
      </c>
      <c r="M57" s="70">
        <f t="shared" si="1"/>
        <v>1</v>
      </c>
      <c r="N57" s="70">
        <f t="shared" si="2"/>
        <v>0</v>
      </c>
      <c r="O57" s="70">
        <f t="shared" si="3"/>
        <v>1</v>
      </c>
      <c r="P57" s="70">
        <f t="shared" si="4"/>
        <v>1</v>
      </c>
      <c r="Q57" s="70">
        <f t="shared" si="5"/>
        <v>1</v>
      </c>
      <c r="R57" s="70">
        <f t="shared" si="6"/>
        <v>1</v>
      </c>
      <c r="S57" s="70">
        <f t="shared" si="7"/>
        <v>1</v>
      </c>
      <c r="T57" s="70">
        <f t="shared" si="8"/>
        <v>1</v>
      </c>
      <c r="U57" s="70">
        <f t="shared" si="9"/>
        <v>1</v>
      </c>
    </row>
    <row r="58" ht="15.0" customHeight="1">
      <c r="A58" s="12" t="s">
        <v>59</v>
      </c>
      <c r="B58" s="71" t="s">
        <v>134</v>
      </c>
      <c r="C58" s="72">
        <f>Avaliacao_Humana!N12</f>
        <v>1</v>
      </c>
      <c r="D58" s="72">
        <f>ChatGPT_ZeroShot!N12</f>
        <v>0</v>
      </c>
      <c r="E58" s="72">
        <f>ChatGPT_FewShot!N12</f>
        <v>0</v>
      </c>
      <c r="F58" s="72">
        <f>ChatGPT_CoT!N12</f>
        <v>0</v>
      </c>
      <c r="G58" s="72">
        <f>Gemini_ZeroShot!N12</f>
        <v>0</v>
      </c>
      <c r="H58" s="72">
        <f>Gemini_FewShot!N12</f>
        <v>0</v>
      </c>
      <c r="I58" s="72">
        <f>Gemini_CoT!N12</f>
        <v>0</v>
      </c>
      <c r="J58" s="72">
        <f>Claude_ZeroShot!N12</f>
        <v>0</v>
      </c>
      <c r="K58" s="72">
        <f>Claude_FewShot!N12</f>
        <v>0</v>
      </c>
      <c r="L58" s="72">
        <f>Claude_CoT!N12</f>
        <v>1</v>
      </c>
      <c r="M58" s="72">
        <f t="shared" si="1"/>
        <v>1</v>
      </c>
      <c r="N58" s="72">
        <f t="shared" si="2"/>
        <v>1</v>
      </c>
      <c r="O58" s="72">
        <f t="shared" si="3"/>
        <v>1</v>
      </c>
      <c r="P58" s="72">
        <f t="shared" si="4"/>
        <v>1</v>
      </c>
      <c r="Q58" s="72">
        <f t="shared" si="5"/>
        <v>1</v>
      </c>
      <c r="R58" s="72">
        <f t="shared" si="6"/>
        <v>1</v>
      </c>
      <c r="S58" s="72">
        <f t="shared" si="7"/>
        <v>1</v>
      </c>
      <c r="T58" s="72">
        <f t="shared" si="8"/>
        <v>1</v>
      </c>
      <c r="U58" s="72">
        <f t="shared" si="9"/>
        <v>0</v>
      </c>
    </row>
    <row r="59" ht="15.0" customHeight="1">
      <c r="A59" s="29" t="s">
        <v>59</v>
      </c>
      <c r="B59" s="73" t="s">
        <v>135</v>
      </c>
      <c r="C59" s="70">
        <f>Avaliacao_Humana!T12</f>
        <v>1</v>
      </c>
      <c r="D59" s="70">
        <f>ChatGPT_ZeroShot!T12</f>
        <v>1</v>
      </c>
      <c r="E59" s="70">
        <f>ChatGPT_FewShot!T12</f>
        <v>0</v>
      </c>
      <c r="F59" s="70">
        <f>ChatGPT_CoT!T12</f>
        <v>0</v>
      </c>
      <c r="G59" s="70">
        <f>Gemini_ZeroShot!T12</f>
        <v>0</v>
      </c>
      <c r="H59" s="70">
        <f>Gemini_FewShot!T12</f>
        <v>0</v>
      </c>
      <c r="I59" s="70">
        <f>Gemini_CoT!T12</f>
        <v>0</v>
      </c>
      <c r="J59" s="70">
        <f>Claude_ZeroShot!T12</f>
        <v>1</v>
      </c>
      <c r="K59" s="70">
        <f>Claude_FewShot!T12</f>
        <v>0</v>
      </c>
      <c r="L59" s="70">
        <f>Claude_CoT!T12</f>
        <v>0</v>
      </c>
      <c r="M59" s="70">
        <f t="shared" si="1"/>
        <v>0</v>
      </c>
      <c r="N59" s="70">
        <f t="shared" si="2"/>
        <v>1</v>
      </c>
      <c r="O59" s="70">
        <f t="shared" si="3"/>
        <v>1</v>
      </c>
      <c r="P59" s="70">
        <f t="shared" si="4"/>
        <v>1</v>
      </c>
      <c r="Q59" s="70">
        <f t="shared" si="5"/>
        <v>1</v>
      </c>
      <c r="R59" s="70">
        <f t="shared" si="6"/>
        <v>1</v>
      </c>
      <c r="S59" s="70">
        <f t="shared" si="7"/>
        <v>0</v>
      </c>
      <c r="T59" s="70">
        <f t="shared" si="8"/>
        <v>1</v>
      </c>
      <c r="U59" s="70">
        <f t="shared" si="9"/>
        <v>1</v>
      </c>
    </row>
    <row r="60" ht="15.0" customHeight="1">
      <c r="A60" s="12" t="s">
        <v>59</v>
      </c>
      <c r="B60" s="74" t="s">
        <v>136</v>
      </c>
      <c r="C60" s="72">
        <f>Avaliacao_Humana!Z12</f>
        <v>1</v>
      </c>
      <c r="D60" s="72">
        <f>ChatGPT_ZeroShot!Z12</f>
        <v>0</v>
      </c>
      <c r="E60" s="72">
        <f>ChatGPT_FewShot!Z12</f>
        <v>0</v>
      </c>
      <c r="F60" s="72">
        <f>ChatGPT_CoT!Z12</f>
        <v>0</v>
      </c>
      <c r="G60" s="72">
        <f>Gemini_ZeroShot!Z12</f>
        <v>0</v>
      </c>
      <c r="H60" s="72">
        <f>Gemini_FewShot!Z12</f>
        <v>1</v>
      </c>
      <c r="I60" s="72">
        <f>Gemini_CoT!Z12</f>
        <v>0</v>
      </c>
      <c r="J60" s="72">
        <f>Claude_ZeroShot!Z12</f>
        <v>2</v>
      </c>
      <c r="K60" s="72">
        <f>Claude_FewShot!Z12</f>
        <v>0</v>
      </c>
      <c r="L60" s="72">
        <f>Claude_CoT!Z12</f>
        <v>0</v>
      </c>
      <c r="M60" s="72">
        <f t="shared" si="1"/>
        <v>1</v>
      </c>
      <c r="N60" s="72">
        <f t="shared" si="2"/>
        <v>1</v>
      </c>
      <c r="O60" s="72">
        <f t="shared" si="3"/>
        <v>1</v>
      </c>
      <c r="P60" s="72">
        <f t="shared" si="4"/>
        <v>1</v>
      </c>
      <c r="Q60" s="72">
        <f t="shared" si="5"/>
        <v>0</v>
      </c>
      <c r="R60" s="72">
        <f t="shared" si="6"/>
        <v>1</v>
      </c>
      <c r="S60" s="72">
        <f t="shared" si="7"/>
        <v>1</v>
      </c>
      <c r="T60" s="72">
        <f t="shared" si="8"/>
        <v>1</v>
      </c>
      <c r="U60" s="72">
        <f t="shared" si="9"/>
        <v>1</v>
      </c>
    </row>
    <row r="61" ht="15.0" customHeight="1">
      <c r="A61" s="29" t="s">
        <v>59</v>
      </c>
      <c r="B61" s="75" t="s">
        <v>137</v>
      </c>
      <c r="C61" s="70">
        <f>Avaliacao_Humana!AF12</f>
        <v>0</v>
      </c>
      <c r="D61" s="70">
        <f>ChatGPT_ZeroShot!AF12</f>
        <v>0</v>
      </c>
      <c r="E61" s="70">
        <f>ChatGPT_FewShot!AF12</f>
        <v>0</v>
      </c>
      <c r="F61" s="70">
        <f>ChatGPT_CoT!AF12</f>
        <v>0</v>
      </c>
      <c r="G61" s="70">
        <f>Gemini_ZeroShot!AF12</f>
        <v>0</v>
      </c>
      <c r="H61" s="70">
        <f>Gemini_FewShot!AF12</f>
        <v>0</v>
      </c>
      <c r="I61" s="70">
        <f>Gemini_CoT!AF12</f>
        <v>0</v>
      </c>
      <c r="J61" s="70">
        <f>Claude_ZeroShot!AF12</f>
        <v>0</v>
      </c>
      <c r="K61" s="70">
        <f>Claude_FewShot!AF12</f>
        <v>0</v>
      </c>
      <c r="L61" s="70">
        <f>Claude_CoT!AF12</f>
        <v>0</v>
      </c>
      <c r="M61" s="70">
        <f t="shared" si="1"/>
        <v>0</v>
      </c>
      <c r="N61" s="70">
        <f t="shared" si="2"/>
        <v>0</v>
      </c>
      <c r="O61" s="70">
        <f t="shared" si="3"/>
        <v>0</v>
      </c>
      <c r="P61" s="70">
        <f t="shared" si="4"/>
        <v>0</v>
      </c>
      <c r="Q61" s="70">
        <f t="shared" si="5"/>
        <v>0</v>
      </c>
      <c r="R61" s="70">
        <f t="shared" si="6"/>
        <v>0</v>
      </c>
      <c r="S61" s="70">
        <f t="shared" si="7"/>
        <v>0</v>
      </c>
      <c r="T61" s="70">
        <f t="shared" si="8"/>
        <v>0</v>
      </c>
      <c r="U61" s="70">
        <f t="shared" si="9"/>
        <v>0</v>
      </c>
    </row>
    <row r="62" ht="15.0" customHeight="1">
      <c r="A62" s="12" t="s">
        <v>59</v>
      </c>
      <c r="B62" s="76" t="s">
        <v>138</v>
      </c>
      <c r="C62" s="72">
        <f>Avaliacao_Humana!AL12</f>
        <v>2</v>
      </c>
      <c r="D62" s="72">
        <f>ChatGPT_ZeroShot!AL12</f>
        <v>4</v>
      </c>
      <c r="E62" s="72">
        <f>ChatGPT_FewShot!AL12</f>
        <v>1</v>
      </c>
      <c r="F62" s="72">
        <f>ChatGPT_CoT!AL12</f>
        <v>4</v>
      </c>
      <c r="G62" s="72">
        <f>Gemini_ZeroShot!AL12</f>
        <v>0</v>
      </c>
      <c r="H62" s="72">
        <f>Gemini_FewShot!AL12</f>
        <v>5</v>
      </c>
      <c r="I62" s="72">
        <f>Gemini_CoT!AL12</f>
        <v>0</v>
      </c>
      <c r="J62" s="72">
        <f>Claude_ZeroShot!AL12</f>
        <v>3</v>
      </c>
      <c r="K62" s="72">
        <f>Claude_FewShot!AL12</f>
        <v>1</v>
      </c>
      <c r="L62" s="72">
        <f>Claude_CoT!AL12</f>
        <v>1</v>
      </c>
      <c r="M62" s="72">
        <f t="shared" si="1"/>
        <v>2</v>
      </c>
      <c r="N62" s="72">
        <f t="shared" si="2"/>
        <v>1</v>
      </c>
      <c r="O62" s="72">
        <f t="shared" si="3"/>
        <v>2</v>
      </c>
      <c r="P62" s="72">
        <f t="shared" si="4"/>
        <v>2</v>
      </c>
      <c r="Q62" s="72">
        <f t="shared" si="5"/>
        <v>3</v>
      </c>
      <c r="R62" s="72">
        <f t="shared" si="6"/>
        <v>2</v>
      </c>
      <c r="S62" s="72">
        <f t="shared" si="7"/>
        <v>1</v>
      </c>
      <c r="T62" s="72">
        <f t="shared" si="8"/>
        <v>1</v>
      </c>
      <c r="U62" s="72">
        <f t="shared" si="9"/>
        <v>1</v>
      </c>
    </row>
    <row r="63" ht="15.0" customHeight="1">
      <c r="A63" s="29" t="s">
        <v>61</v>
      </c>
      <c r="B63" s="69" t="s">
        <v>133</v>
      </c>
      <c r="C63" s="70">
        <f>Avaliacao_Humana!H13</f>
        <v>0</v>
      </c>
      <c r="D63" s="70">
        <f>ChatGPT_ZeroShot!H13</f>
        <v>0</v>
      </c>
      <c r="E63" s="70">
        <f>ChatGPT_FewShot!H13</f>
        <v>0</v>
      </c>
      <c r="F63" s="70">
        <f>ChatGPT_CoT!H13</f>
        <v>0</v>
      </c>
      <c r="G63" s="70">
        <f>Gemini_ZeroShot!H13</f>
        <v>0</v>
      </c>
      <c r="H63" s="70">
        <f>Gemini_FewShot!H13</f>
        <v>0</v>
      </c>
      <c r="I63" s="70">
        <f>Gemini_CoT!H13</f>
        <v>0</v>
      </c>
      <c r="J63" s="70">
        <f>Claude_ZeroShot!H13</f>
        <v>0</v>
      </c>
      <c r="K63" s="70">
        <f>Claude_FewShot!H13</f>
        <v>0</v>
      </c>
      <c r="L63" s="70">
        <f>Claude_CoT!H13</f>
        <v>0</v>
      </c>
      <c r="M63" s="70">
        <f t="shared" si="1"/>
        <v>0</v>
      </c>
      <c r="N63" s="70">
        <f t="shared" si="2"/>
        <v>0</v>
      </c>
      <c r="O63" s="70">
        <f t="shared" si="3"/>
        <v>0</v>
      </c>
      <c r="P63" s="70">
        <f t="shared" si="4"/>
        <v>0</v>
      </c>
      <c r="Q63" s="70">
        <f t="shared" si="5"/>
        <v>0</v>
      </c>
      <c r="R63" s="70">
        <f t="shared" si="6"/>
        <v>0</v>
      </c>
      <c r="S63" s="70">
        <f t="shared" si="7"/>
        <v>0</v>
      </c>
      <c r="T63" s="70">
        <f t="shared" si="8"/>
        <v>0</v>
      </c>
      <c r="U63" s="70">
        <f t="shared" si="9"/>
        <v>0</v>
      </c>
    </row>
    <row r="64" ht="15.0" customHeight="1">
      <c r="A64" s="12" t="s">
        <v>61</v>
      </c>
      <c r="B64" s="71" t="s">
        <v>134</v>
      </c>
      <c r="C64" s="72">
        <f>Avaliacao_Humana!N13</f>
        <v>0</v>
      </c>
      <c r="D64" s="72">
        <f>ChatGPT_ZeroShot!N13</f>
        <v>0</v>
      </c>
      <c r="E64" s="72">
        <f>ChatGPT_FewShot!N13</f>
        <v>0</v>
      </c>
      <c r="F64" s="72">
        <f>ChatGPT_CoT!N13</f>
        <v>0</v>
      </c>
      <c r="G64" s="72">
        <f>Gemini_ZeroShot!N13</f>
        <v>0</v>
      </c>
      <c r="H64" s="72">
        <f>Gemini_FewShot!N13</f>
        <v>0</v>
      </c>
      <c r="I64" s="72">
        <f>Gemini_CoT!N13</f>
        <v>0</v>
      </c>
      <c r="J64" s="72">
        <f>Claude_ZeroShot!N13</f>
        <v>0</v>
      </c>
      <c r="K64" s="72">
        <f>Claude_FewShot!N13</f>
        <v>0</v>
      </c>
      <c r="L64" s="72">
        <f>Claude_CoT!N13</f>
        <v>0</v>
      </c>
      <c r="M64" s="72">
        <f t="shared" si="1"/>
        <v>0</v>
      </c>
      <c r="N64" s="72">
        <f t="shared" si="2"/>
        <v>0</v>
      </c>
      <c r="O64" s="72">
        <f t="shared" si="3"/>
        <v>0</v>
      </c>
      <c r="P64" s="72">
        <f t="shared" si="4"/>
        <v>0</v>
      </c>
      <c r="Q64" s="72">
        <f t="shared" si="5"/>
        <v>0</v>
      </c>
      <c r="R64" s="72">
        <f t="shared" si="6"/>
        <v>0</v>
      </c>
      <c r="S64" s="72">
        <f t="shared" si="7"/>
        <v>0</v>
      </c>
      <c r="T64" s="72">
        <f t="shared" si="8"/>
        <v>0</v>
      </c>
      <c r="U64" s="72">
        <f t="shared" si="9"/>
        <v>0</v>
      </c>
    </row>
    <row r="65" ht="15.0" customHeight="1">
      <c r="A65" s="29" t="s">
        <v>61</v>
      </c>
      <c r="B65" s="73" t="s">
        <v>135</v>
      </c>
      <c r="C65" s="70">
        <f>Avaliacao_Humana!T13</f>
        <v>0</v>
      </c>
      <c r="D65" s="70">
        <f>ChatGPT_ZeroShot!T13</f>
        <v>0</v>
      </c>
      <c r="E65" s="70">
        <f>ChatGPT_FewShot!T13</f>
        <v>0</v>
      </c>
      <c r="F65" s="70">
        <f>ChatGPT_CoT!T13</f>
        <v>0</v>
      </c>
      <c r="G65" s="70">
        <f>Gemini_ZeroShot!T13</f>
        <v>0</v>
      </c>
      <c r="H65" s="70">
        <f>Gemini_FewShot!T13</f>
        <v>1</v>
      </c>
      <c r="I65" s="70">
        <f>Gemini_CoT!T13</f>
        <v>0</v>
      </c>
      <c r="J65" s="70">
        <f>Claude_ZeroShot!T13</f>
        <v>1</v>
      </c>
      <c r="K65" s="70">
        <f>Claude_FewShot!T13</f>
        <v>0</v>
      </c>
      <c r="L65" s="70">
        <f>Claude_CoT!T13</f>
        <v>0</v>
      </c>
      <c r="M65" s="70">
        <f t="shared" si="1"/>
        <v>0</v>
      </c>
      <c r="N65" s="70">
        <f t="shared" si="2"/>
        <v>0</v>
      </c>
      <c r="O65" s="70">
        <f t="shared" si="3"/>
        <v>0</v>
      </c>
      <c r="P65" s="70">
        <f t="shared" si="4"/>
        <v>0</v>
      </c>
      <c r="Q65" s="70">
        <f t="shared" si="5"/>
        <v>1</v>
      </c>
      <c r="R65" s="70">
        <f t="shared" si="6"/>
        <v>0</v>
      </c>
      <c r="S65" s="70">
        <f t="shared" si="7"/>
        <v>1</v>
      </c>
      <c r="T65" s="70">
        <f t="shared" si="8"/>
        <v>0</v>
      </c>
      <c r="U65" s="70">
        <f t="shared" si="9"/>
        <v>0</v>
      </c>
    </row>
    <row r="66" ht="15.0" customHeight="1">
      <c r="A66" s="12" t="s">
        <v>61</v>
      </c>
      <c r="B66" s="74" t="s">
        <v>136</v>
      </c>
      <c r="C66" s="72">
        <f>Avaliacao_Humana!Z13</f>
        <v>1</v>
      </c>
      <c r="D66" s="72">
        <f>ChatGPT_ZeroShot!Z13</f>
        <v>0</v>
      </c>
      <c r="E66" s="72">
        <f>ChatGPT_FewShot!Z13</f>
        <v>0</v>
      </c>
      <c r="F66" s="72">
        <f>ChatGPT_CoT!Z13</f>
        <v>0</v>
      </c>
      <c r="G66" s="72">
        <f>Gemini_ZeroShot!Z13</f>
        <v>0</v>
      </c>
      <c r="H66" s="72">
        <f>Gemini_FewShot!Z13</f>
        <v>1</v>
      </c>
      <c r="I66" s="72">
        <f>Gemini_CoT!Z13</f>
        <v>0</v>
      </c>
      <c r="J66" s="72">
        <f>Claude_ZeroShot!Z13</f>
        <v>1</v>
      </c>
      <c r="K66" s="72">
        <f>Claude_FewShot!Z13</f>
        <v>0</v>
      </c>
      <c r="L66" s="72">
        <f>Claude_CoT!Z13</f>
        <v>1</v>
      </c>
      <c r="M66" s="72">
        <f t="shared" si="1"/>
        <v>1</v>
      </c>
      <c r="N66" s="72">
        <f t="shared" si="2"/>
        <v>1</v>
      </c>
      <c r="O66" s="72">
        <f t="shared" si="3"/>
        <v>1</v>
      </c>
      <c r="P66" s="72">
        <f t="shared" si="4"/>
        <v>1</v>
      </c>
      <c r="Q66" s="72">
        <f t="shared" si="5"/>
        <v>0</v>
      </c>
      <c r="R66" s="72">
        <f t="shared" si="6"/>
        <v>1</v>
      </c>
      <c r="S66" s="72">
        <f t="shared" si="7"/>
        <v>0</v>
      </c>
      <c r="T66" s="72">
        <f t="shared" si="8"/>
        <v>1</v>
      </c>
      <c r="U66" s="72">
        <f t="shared" si="9"/>
        <v>0</v>
      </c>
    </row>
    <row r="67" ht="15.0" customHeight="1">
      <c r="A67" s="29" t="s">
        <v>61</v>
      </c>
      <c r="B67" s="75" t="s">
        <v>137</v>
      </c>
      <c r="C67" s="70">
        <f>Avaliacao_Humana!AF13</f>
        <v>1</v>
      </c>
      <c r="D67" s="70">
        <f>ChatGPT_ZeroShot!AF13</f>
        <v>2</v>
      </c>
      <c r="E67" s="70">
        <f>ChatGPT_FewShot!AF13</f>
        <v>0</v>
      </c>
      <c r="F67" s="70">
        <f>ChatGPT_CoT!AF13</f>
        <v>1</v>
      </c>
      <c r="G67" s="70">
        <f>Gemini_ZeroShot!AF13</f>
        <v>0</v>
      </c>
      <c r="H67" s="70">
        <f>Gemini_FewShot!AF13</f>
        <v>1</v>
      </c>
      <c r="I67" s="70">
        <f>Gemini_CoT!AF13</f>
        <v>0</v>
      </c>
      <c r="J67" s="70">
        <f>Claude_ZeroShot!AF13</f>
        <v>1</v>
      </c>
      <c r="K67" s="70">
        <f>Claude_FewShot!AF13</f>
        <v>0</v>
      </c>
      <c r="L67" s="70">
        <f>Claude_CoT!AF13</f>
        <v>0</v>
      </c>
      <c r="M67" s="70">
        <f t="shared" si="1"/>
        <v>1</v>
      </c>
      <c r="N67" s="70">
        <f t="shared" si="2"/>
        <v>1</v>
      </c>
      <c r="O67" s="70">
        <f t="shared" si="3"/>
        <v>0</v>
      </c>
      <c r="P67" s="70">
        <f t="shared" si="4"/>
        <v>1</v>
      </c>
      <c r="Q67" s="70">
        <f t="shared" si="5"/>
        <v>0</v>
      </c>
      <c r="R67" s="70">
        <f t="shared" si="6"/>
        <v>1</v>
      </c>
      <c r="S67" s="70">
        <f t="shared" si="7"/>
        <v>0</v>
      </c>
      <c r="T67" s="70">
        <f t="shared" si="8"/>
        <v>1</v>
      </c>
      <c r="U67" s="70">
        <f t="shared" si="9"/>
        <v>1</v>
      </c>
    </row>
    <row r="68" ht="15.0" customHeight="1">
      <c r="A68" s="12" t="s">
        <v>61</v>
      </c>
      <c r="B68" s="76" t="s">
        <v>138</v>
      </c>
      <c r="C68" s="72">
        <f>Avaliacao_Humana!AL13</f>
        <v>4</v>
      </c>
      <c r="D68" s="72">
        <f>ChatGPT_ZeroShot!AL13</f>
        <v>4</v>
      </c>
      <c r="E68" s="72">
        <f>ChatGPT_FewShot!AL13</f>
        <v>1</v>
      </c>
      <c r="F68" s="72">
        <f>ChatGPT_CoT!AL13</f>
        <v>4</v>
      </c>
      <c r="G68" s="72">
        <f>Gemini_ZeroShot!AL13</f>
        <v>0</v>
      </c>
      <c r="H68" s="72">
        <f>Gemini_FewShot!AL13</f>
        <v>5</v>
      </c>
      <c r="I68" s="72">
        <f>Gemini_CoT!AL13</f>
        <v>0</v>
      </c>
      <c r="J68" s="72">
        <f>Claude_ZeroShot!AL13</f>
        <v>4</v>
      </c>
      <c r="K68" s="72">
        <f>Claude_FewShot!AL13</f>
        <v>0</v>
      </c>
      <c r="L68" s="72">
        <f>Claude_CoT!AL13</f>
        <v>1</v>
      </c>
      <c r="M68" s="72">
        <f t="shared" si="1"/>
        <v>0</v>
      </c>
      <c r="N68" s="72">
        <f t="shared" si="2"/>
        <v>3</v>
      </c>
      <c r="O68" s="72">
        <f t="shared" si="3"/>
        <v>0</v>
      </c>
      <c r="P68" s="72">
        <f t="shared" si="4"/>
        <v>4</v>
      </c>
      <c r="Q68" s="72">
        <f t="shared" si="5"/>
        <v>1</v>
      </c>
      <c r="R68" s="72">
        <f t="shared" si="6"/>
        <v>4</v>
      </c>
      <c r="S68" s="72">
        <f t="shared" si="7"/>
        <v>0</v>
      </c>
      <c r="T68" s="72">
        <f t="shared" si="8"/>
        <v>4</v>
      </c>
      <c r="U68" s="72">
        <f t="shared" si="9"/>
        <v>3</v>
      </c>
    </row>
    <row r="69" ht="15.0" customHeight="1">
      <c r="A69" s="29" t="s">
        <v>63</v>
      </c>
      <c r="B69" s="69" t="s">
        <v>133</v>
      </c>
      <c r="C69" s="70">
        <f>Avaliacao_Humana!H14</f>
        <v>0</v>
      </c>
      <c r="D69" s="70">
        <f>ChatGPT_ZeroShot!H14</f>
        <v>0</v>
      </c>
      <c r="E69" s="70">
        <f>ChatGPT_FewShot!H14</f>
        <v>0</v>
      </c>
      <c r="F69" s="70">
        <f>ChatGPT_CoT!H14</f>
        <v>0</v>
      </c>
      <c r="G69" s="70">
        <f>Gemini_ZeroShot!H14</f>
        <v>0</v>
      </c>
      <c r="H69" s="70">
        <f>Gemini_FewShot!H14</f>
        <v>0</v>
      </c>
      <c r="I69" s="70">
        <f>Gemini_CoT!H14</f>
        <v>0</v>
      </c>
      <c r="J69" s="70">
        <f>Claude_ZeroShot!H14</f>
        <v>0</v>
      </c>
      <c r="K69" s="70">
        <f>Claude_FewShot!H14</f>
        <v>0</v>
      </c>
      <c r="L69" s="70">
        <f>Claude_CoT!H14</f>
        <v>0</v>
      </c>
      <c r="M69" s="70">
        <f t="shared" si="1"/>
        <v>0</v>
      </c>
      <c r="N69" s="70">
        <f t="shared" si="2"/>
        <v>0</v>
      </c>
      <c r="O69" s="70">
        <f t="shared" si="3"/>
        <v>0</v>
      </c>
      <c r="P69" s="70">
        <f t="shared" si="4"/>
        <v>0</v>
      </c>
      <c r="Q69" s="70">
        <f t="shared" si="5"/>
        <v>0</v>
      </c>
      <c r="R69" s="70">
        <f t="shared" si="6"/>
        <v>0</v>
      </c>
      <c r="S69" s="70">
        <f t="shared" si="7"/>
        <v>0</v>
      </c>
      <c r="T69" s="70">
        <f t="shared" si="8"/>
        <v>0</v>
      </c>
      <c r="U69" s="70">
        <f t="shared" si="9"/>
        <v>0</v>
      </c>
    </row>
    <row r="70" ht="15.0" customHeight="1">
      <c r="A70" s="12" t="s">
        <v>63</v>
      </c>
      <c r="B70" s="71" t="s">
        <v>134</v>
      </c>
      <c r="C70" s="72">
        <f>Avaliacao_Humana!N14</f>
        <v>0</v>
      </c>
      <c r="D70" s="72">
        <f>ChatGPT_ZeroShot!N14</f>
        <v>0</v>
      </c>
      <c r="E70" s="72">
        <f>ChatGPT_FewShot!N14</f>
        <v>0</v>
      </c>
      <c r="F70" s="72">
        <f>ChatGPT_CoT!N14</f>
        <v>0</v>
      </c>
      <c r="G70" s="72">
        <f>Gemini_ZeroShot!N14</f>
        <v>0</v>
      </c>
      <c r="H70" s="72">
        <f>Gemini_FewShot!N14</f>
        <v>0</v>
      </c>
      <c r="I70" s="72">
        <f>Gemini_CoT!N14</f>
        <v>0</v>
      </c>
      <c r="J70" s="72">
        <f>Claude_ZeroShot!N14</f>
        <v>0</v>
      </c>
      <c r="K70" s="72">
        <f>Claude_FewShot!N14</f>
        <v>0</v>
      </c>
      <c r="L70" s="72">
        <f>Claude_CoT!N14</f>
        <v>0</v>
      </c>
      <c r="M70" s="72">
        <f t="shared" si="1"/>
        <v>0</v>
      </c>
      <c r="N70" s="72">
        <f t="shared" si="2"/>
        <v>0</v>
      </c>
      <c r="O70" s="72">
        <f t="shared" si="3"/>
        <v>0</v>
      </c>
      <c r="P70" s="72">
        <f t="shared" si="4"/>
        <v>0</v>
      </c>
      <c r="Q70" s="72">
        <f t="shared" si="5"/>
        <v>0</v>
      </c>
      <c r="R70" s="72">
        <f t="shared" si="6"/>
        <v>0</v>
      </c>
      <c r="S70" s="72">
        <f t="shared" si="7"/>
        <v>0</v>
      </c>
      <c r="T70" s="72">
        <f t="shared" si="8"/>
        <v>0</v>
      </c>
      <c r="U70" s="72">
        <f t="shared" si="9"/>
        <v>0</v>
      </c>
    </row>
    <row r="71" ht="15.0" customHeight="1">
      <c r="A71" s="29" t="s">
        <v>63</v>
      </c>
      <c r="B71" s="73" t="s">
        <v>135</v>
      </c>
      <c r="C71" s="70">
        <f>Avaliacao_Humana!T14</f>
        <v>0</v>
      </c>
      <c r="D71" s="70">
        <f>ChatGPT_ZeroShot!T14</f>
        <v>0</v>
      </c>
      <c r="E71" s="70">
        <f>ChatGPT_FewShot!T14</f>
        <v>0</v>
      </c>
      <c r="F71" s="70">
        <f>ChatGPT_CoT!T14</f>
        <v>0</v>
      </c>
      <c r="G71" s="70">
        <f>Gemini_ZeroShot!T14</f>
        <v>0</v>
      </c>
      <c r="H71" s="70">
        <f>Gemini_FewShot!T14</f>
        <v>0</v>
      </c>
      <c r="I71" s="70">
        <f>Gemini_CoT!T14</f>
        <v>0</v>
      </c>
      <c r="J71" s="70">
        <f>Claude_ZeroShot!T14</f>
        <v>0</v>
      </c>
      <c r="K71" s="70">
        <f>Claude_FewShot!T14</f>
        <v>0</v>
      </c>
      <c r="L71" s="70">
        <f>Claude_CoT!T14</f>
        <v>0</v>
      </c>
      <c r="M71" s="70">
        <f t="shared" si="1"/>
        <v>0</v>
      </c>
      <c r="N71" s="70">
        <f t="shared" si="2"/>
        <v>0</v>
      </c>
      <c r="O71" s="70">
        <f t="shared" si="3"/>
        <v>0</v>
      </c>
      <c r="P71" s="70">
        <f t="shared" si="4"/>
        <v>0</v>
      </c>
      <c r="Q71" s="70">
        <f t="shared" si="5"/>
        <v>0</v>
      </c>
      <c r="R71" s="70">
        <f t="shared" si="6"/>
        <v>0</v>
      </c>
      <c r="S71" s="70">
        <f t="shared" si="7"/>
        <v>0</v>
      </c>
      <c r="T71" s="70">
        <f t="shared" si="8"/>
        <v>0</v>
      </c>
      <c r="U71" s="70">
        <f t="shared" si="9"/>
        <v>0</v>
      </c>
    </row>
    <row r="72" ht="15.0" customHeight="1">
      <c r="A72" s="12" t="s">
        <v>63</v>
      </c>
      <c r="B72" s="74" t="s">
        <v>136</v>
      </c>
      <c r="C72" s="72">
        <f>Avaliacao_Humana!Z14</f>
        <v>0</v>
      </c>
      <c r="D72" s="72">
        <f>ChatGPT_ZeroShot!Z14</f>
        <v>0</v>
      </c>
      <c r="E72" s="72">
        <f>ChatGPT_FewShot!Z14</f>
        <v>0</v>
      </c>
      <c r="F72" s="72">
        <f>ChatGPT_CoT!Z14</f>
        <v>0</v>
      </c>
      <c r="G72" s="72">
        <f>Gemini_ZeroShot!Z14</f>
        <v>0</v>
      </c>
      <c r="H72" s="72">
        <f>Gemini_FewShot!Z14</f>
        <v>0</v>
      </c>
      <c r="I72" s="72">
        <f>Gemini_CoT!Z14</f>
        <v>0</v>
      </c>
      <c r="J72" s="72">
        <f>Claude_ZeroShot!Z14</f>
        <v>1</v>
      </c>
      <c r="K72" s="72">
        <f>Claude_FewShot!Z14</f>
        <v>0</v>
      </c>
      <c r="L72" s="72">
        <f>Claude_CoT!Z14</f>
        <v>0</v>
      </c>
      <c r="M72" s="72">
        <f t="shared" si="1"/>
        <v>0</v>
      </c>
      <c r="N72" s="72">
        <f t="shared" si="2"/>
        <v>0</v>
      </c>
      <c r="O72" s="72">
        <f t="shared" si="3"/>
        <v>0</v>
      </c>
      <c r="P72" s="72">
        <f t="shared" si="4"/>
        <v>0</v>
      </c>
      <c r="Q72" s="72">
        <f t="shared" si="5"/>
        <v>0</v>
      </c>
      <c r="R72" s="72">
        <f t="shared" si="6"/>
        <v>0</v>
      </c>
      <c r="S72" s="72">
        <f t="shared" si="7"/>
        <v>1</v>
      </c>
      <c r="T72" s="72">
        <f t="shared" si="8"/>
        <v>0</v>
      </c>
      <c r="U72" s="72">
        <f t="shared" si="9"/>
        <v>0</v>
      </c>
    </row>
    <row r="73" ht="15.0" customHeight="1">
      <c r="A73" s="29" t="s">
        <v>63</v>
      </c>
      <c r="B73" s="75" t="s">
        <v>137</v>
      </c>
      <c r="C73" s="70">
        <f>Avaliacao_Humana!AF14</f>
        <v>0</v>
      </c>
      <c r="D73" s="70">
        <f>ChatGPT_ZeroShot!AF14</f>
        <v>0</v>
      </c>
      <c r="E73" s="70">
        <f>ChatGPT_FewShot!AF14</f>
        <v>0</v>
      </c>
      <c r="F73" s="70">
        <f>ChatGPT_CoT!AF14</f>
        <v>0</v>
      </c>
      <c r="G73" s="70">
        <f>Gemini_ZeroShot!AF14</f>
        <v>0</v>
      </c>
      <c r="H73" s="70">
        <f>Gemini_FewShot!AF14</f>
        <v>0</v>
      </c>
      <c r="I73" s="70">
        <f>Gemini_CoT!AF14</f>
        <v>0</v>
      </c>
      <c r="J73" s="70">
        <f>Claude_ZeroShot!AF14</f>
        <v>0</v>
      </c>
      <c r="K73" s="70">
        <f>Claude_FewShot!AF14</f>
        <v>0</v>
      </c>
      <c r="L73" s="70">
        <f>Claude_CoT!AF14</f>
        <v>0</v>
      </c>
      <c r="M73" s="70">
        <f t="shared" si="1"/>
        <v>0</v>
      </c>
      <c r="N73" s="70">
        <f t="shared" si="2"/>
        <v>0</v>
      </c>
      <c r="O73" s="70">
        <f t="shared" si="3"/>
        <v>0</v>
      </c>
      <c r="P73" s="70">
        <f t="shared" si="4"/>
        <v>0</v>
      </c>
      <c r="Q73" s="70">
        <f t="shared" si="5"/>
        <v>0</v>
      </c>
      <c r="R73" s="70">
        <f t="shared" si="6"/>
        <v>0</v>
      </c>
      <c r="S73" s="70">
        <f t="shared" si="7"/>
        <v>0</v>
      </c>
      <c r="T73" s="70">
        <f t="shared" si="8"/>
        <v>0</v>
      </c>
      <c r="U73" s="70">
        <f t="shared" si="9"/>
        <v>0</v>
      </c>
    </row>
    <row r="74" ht="15.0" customHeight="1">
      <c r="A74" s="12" t="s">
        <v>63</v>
      </c>
      <c r="B74" s="76" t="s">
        <v>138</v>
      </c>
      <c r="C74" s="72">
        <f>Avaliacao_Humana!AL14</f>
        <v>3</v>
      </c>
      <c r="D74" s="72">
        <f>ChatGPT_ZeroShot!AL14</f>
        <v>4</v>
      </c>
      <c r="E74" s="72">
        <f>ChatGPT_FewShot!AL14</f>
        <v>1</v>
      </c>
      <c r="F74" s="72">
        <f>ChatGPT_CoT!AL14</f>
        <v>4</v>
      </c>
      <c r="G74" s="72">
        <f>Gemini_ZeroShot!AL14</f>
        <v>0</v>
      </c>
      <c r="H74" s="72">
        <f>Gemini_FewShot!AL14</f>
        <v>4</v>
      </c>
      <c r="I74" s="72">
        <f>Gemini_CoT!AL14</f>
        <v>0</v>
      </c>
      <c r="J74" s="72">
        <f>Claude_ZeroShot!AL14</f>
        <v>3</v>
      </c>
      <c r="K74" s="72">
        <f>Claude_FewShot!AL14</f>
        <v>0</v>
      </c>
      <c r="L74" s="72">
        <f>Claude_CoT!AL14</f>
        <v>0</v>
      </c>
      <c r="M74" s="72">
        <f t="shared" si="1"/>
        <v>1</v>
      </c>
      <c r="N74" s="72">
        <f t="shared" si="2"/>
        <v>2</v>
      </c>
      <c r="O74" s="72">
        <f t="shared" si="3"/>
        <v>1</v>
      </c>
      <c r="P74" s="72">
        <f t="shared" si="4"/>
        <v>3</v>
      </c>
      <c r="Q74" s="72">
        <f t="shared" si="5"/>
        <v>1</v>
      </c>
      <c r="R74" s="72">
        <f t="shared" si="6"/>
        <v>3</v>
      </c>
      <c r="S74" s="72">
        <f t="shared" si="7"/>
        <v>0</v>
      </c>
      <c r="T74" s="72">
        <f t="shared" si="8"/>
        <v>3</v>
      </c>
      <c r="U74" s="72">
        <f t="shared" si="9"/>
        <v>3</v>
      </c>
    </row>
    <row r="75" ht="15.0" customHeight="1">
      <c r="A75" s="29" t="s">
        <v>65</v>
      </c>
      <c r="B75" s="69" t="s">
        <v>133</v>
      </c>
      <c r="C75" s="70">
        <f>Avaliacao_Humana!H15</f>
        <v>0</v>
      </c>
      <c r="D75" s="70">
        <f>ChatGPT_ZeroShot!H15</f>
        <v>0</v>
      </c>
      <c r="E75" s="70">
        <f>ChatGPT_FewShot!H15</f>
        <v>0</v>
      </c>
      <c r="F75" s="70">
        <f>ChatGPT_CoT!H15</f>
        <v>0</v>
      </c>
      <c r="G75" s="70">
        <f>Gemini_ZeroShot!H15</f>
        <v>0</v>
      </c>
      <c r="H75" s="70">
        <f>Gemini_FewShot!H15</f>
        <v>0</v>
      </c>
      <c r="I75" s="70">
        <f>Gemini_CoT!H15</f>
        <v>0</v>
      </c>
      <c r="J75" s="70">
        <f>Claude_ZeroShot!H15</f>
        <v>0</v>
      </c>
      <c r="K75" s="70">
        <f>Claude_FewShot!H15</f>
        <v>0</v>
      </c>
      <c r="L75" s="70">
        <f>Claude_CoT!H15</f>
        <v>0</v>
      </c>
      <c r="M75" s="70">
        <f t="shared" si="1"/>
        <v>0</v>
      </c>
      <c r="N75" s="70">
        <f t="shared" si="2"/>
        <v>0</v>
      </c>
      <c r="O75" s="70">
        <f t="shared" si="3"/>
        <v>0</v>
      </c>
      <c r="P75" s="70">
        <f t="shared" si="4"/>
        <v>0</v>
      </c>
      <c r="Q75" s="70">
        <f t="shared" si="5"/>
        <v>0</v>
      </c>
      <c r="R75" s="70">
        <f t="shared" si="6"/>
        <v>0</v>
      </c>
      <c r="S75" s="70">
        <f t="shared" si="7"/>
        <v>0</v>
      </c>
      <c r="T75" s="70">
        <f t="shared" si="8"/>
        <v>0</v>
      </c>
      <c r="U75" s="70">
        <f t="shared" si="9"/>
        <v>0</v>
      </c>
    </row>
    <row r="76" ht="15.0" customHeight="1">
      <c r="A76" s="12" t="s">
        <v>65</v>
      </c>
      <c r="B76" s="71" t="s">
        <v>134</v>
      </c>
      <c r="C76" s="72">
        <f>Avaliacao_Humana!N15</f>
        <v>0</v>
      </c>
      <c r="D76" s="72">
        <f>ChatGPT_ZeroShot!N15</f>
        <v>0</v>
      </c>
      <c r="E76" s="72">
        <f>ChatGPT_FewShot!N15</f>
        <v>0</v>
      </c>
      <c r="F76" s="72">
        <f>ChatGPT_CoT!N15</f>
        <v>0</v>
      </c>
      <c r="G76" s="72">
        <f>Gemini_ZeroShot!N15</f>
        <v>0</v>
      </c>
      <c r="H76" s="72">
        <f>Gemini_FewShot!N15</f>
        <v>0</v>
      </c>
      <c r="I76" s="72">
        <f>Gemini_CoT!N15</f>
        <v>0</v>
      </c>
      <c r="J76" s="72">
        <f>Claude_ZeroShot!N15</f>
        <v>0</v>
      </c>
      <c r="K76" s="72">
        <f>Claude_FewShot!N15</f>
        <v>0</v>
      </c>
      <c r="L76" s="72">
        <f>Claude_CoT!N15</f>
        <v>0</v>
      </c>
      <c r="M76" s="72">
        <f t="shared" si="1"/>
        <v>0</v>
      </c>
      <c r="N76" s="72">
        <f t="shared" si="2"/>
        <v>0</v>
      </c>
      <c r="O76" s="72">
        <f t="shared" si="3"/>
        <v>0</v>
      </c>
      <c r="P76" s="72">
        <f t="shared" si="4"/>
        <v>0</v>
      </c>
      <c r="Q76" s="72">
        <f t="shared" si="5"/>
        <v>0</v>
      </c>
      <c r="R76" s="72">
        <f t="shared" si="6"/>
        <v>0</v>
      </c>
      <c r="S76" s="72">
        <f t="shared" si="7"/>
        <v>0</v>
      </c>
      <c r="T76" s="72">
        <f t="shared" si="8"/>
        <v>0</v>
      </c>
      <c r="U76" s="72">
        <f t="shared" si="9"/>
        <v>0</v>
      </c>
    </row>
    <row r="77" ht="15.0" customHeight="1">
      <c r="A77" s="29" t="s">
        <v>65</v>
      </c>
      <c r="B77" s="73" t="s">
        <v>135</v>
      </c>
      <c r="C77" s="70">
        <f>Avaliacao_Humana!T15</f>
        <v>0</v>
      </c>
      <c r="D77" s="70">
        <f>ChatGPT_ZeroShot!T15</f>
        <v>0</v>
      </c>
      <c r="E77" s="70">
        <f>ChatGPT_FewShot!T15</f>
        <v>0</v>
      </c>
      <c r="F77" s="70">
        <f>ChatGPT_CoT!T15</f>
        <v>0</v>
      </c>
      <c r="G77" s="70">
        <f>Gemini_ZeroShot!T15</f>
        <v>0</v>
      </c>
      <c r="H77" s="70">
        <f>Gemini_FewShot!T15</f>
        <v>0</v>
      </c>
      <c r="I77" s="70">
        <f>Gemini_CoT!T15</f>
        <v>0</v>
      </c>
      <c r="J77" s="70">
        <f>Claude_ZeroShot!T15</f>
        <v>0</v>
      </c>
      <c r="K77" s="70">
        <f>Claude_FewShot!T15</f>
        <v>0</v>
      </c>
      <c r="L77" s="70">
        <f>Claude_CoT!T15</f>
        <v>0</v>
      </c>
      <c r="M77" s="70">
        <f t="shared" si="1"/>
        <v>0</v>
      </c>
      <c r="N77" s="70">
        <f t="shared" si="2"/>
        <v>0</v>
      </c>
      <c r="O77" s="70">
        <f t="shared" si="3"/>
        <v>0</v>
      </c>
      <c r="P77" s="70">
        <f t="shared" si="4"/>
        <v>0</v>
      </c>
      <c r="Q77" s="70">
        <f t="shared" si="5"/>
        <v>0</v>
      </c>
      <c r="R77" s="70">
        <f t="shared" si="6"/>
        <v>0</v>
      </c>
      <c r="S77" s="70">
        <f t="shared" si="7"/>
        <v>0</v>
      </c>
      <c r="T77" s="70">
        <f t="shared" si="8"/>
        <v>0</v>
      </c>
      <c r="U77" s="70">
        <f t="shared" si="9"/>
        <v>0</v>
      </c>
    </row>
    <row r="78" ht="15.0" customHeight="1">
      <c r="A78" s="12" t="s">
        <v>65</v>
      </c>
      <c r="B78" s="74" t="s">
        <v>136</v>
      </c>
      <c r="C78" s="72">
        <f>Avaliacao_Humana!Z15</f>
        <v>0</v>
      </c>
      <c r="D78" s="72">
        <f>ChatGPT_ZeroShot!Z15</f>
        <v>0</v>
      </c>
      <c r="E78" s="72">
        <f>ChatGPT_FewShot!Z15</f>
        <v>0</v>
      </c>
      <c r="F78" s="72">
        <f>ChatGPT_CoT!Z15</f>
        <v>0</v>
      </c>
      <c r="G78" s="72">
        <f>Gemini_ZeroShot!Z15</f>
        <v>0</v>
      </c>
      <c r="H78" s="72">
        <f>Gemini_FewShot!Z15</f>
        <v>0</v>
      </c>
      <c r="I78" s="72">
        <f>Gemini_CoT!Z15</f>
        <v>0</v>
      </c>
      <c r="J78" s="72">
        <f>Claude_ZeroShot!Z15</f>
        <v>1</v>
      </c>
      <c r="K78" s="72">
        <f>Claude_FewShot!Z15</f>
        <v>0</v>
      </c>
      <c r="L78" s="72">
        <f>Claude_CoT!Z15</f>
        <v>1</v>
      </c>
      <c r="M78" s="72">
        <f t="shared" si="1"/>
        <v>0</v>
      </c>
      <c r="N78" s="72">
        <f t="shared" si="2"/>
        <v>0</v>
      </c>
      <c r="O78" s="72">
        <f t="shared" si="3"/>
        <v>0</v>
      </c>
      <c r="P78" s="72">
        <f t="shared" si="4"/>
        <v>0</v>
      </c>
      <c r="Q78" s="72">
        <f t="shared" si="5"/>
        <v>0</v>
      </c>
      <c r="R78" s="72">
        <f t="shared" si="6"/>
        <v>0</v>
      </c>
      <c r="S78" s="72">
        <f t="shared" si="7"/>
        <v>1</v>
      </c>
      <c r="T78" s="72">
        <f t="shared" si="8"/>
        <v>0</v>
      </c>
      <c r="U78" s="72">
        <f t="shared" si="9"/>
        <v>1</v>
      </c>
    </row>
    <row r="79" ht="15.0" customHeight="1">
      <c r="A79" s="29" t="s">
        <v>65</v>
      </c>
      <c r="B79" s="75" t="s">
        <v>137</v>
      </c>
      <c r="C79" s="70">
        <f>Avaliacao_Humana!AF15</f>
        <v>2</v>
      </c>
      <c r="D79" s="70">
        <f>ChatGPT_ZeroShot!AF15</f>
        <v>2</v>
      </c>
      <c r="E79" s="70">
        <f>ChatGPT_FewShot!AF15</f>
        <v>2</v>
      </c>
      <c r="F79" s="70">
        <f>ChatGPT_CoT!AF15</f>
        <v>2</v>
      </c>
      <c r="G79" s="70">
        <f>Gemini_ZeroShot!AF15</f>
        <v>1</v>
      </c>
      <c r="H79" s="70">
        <f>Gemini_FewShot!AF15</f>
        <v>1</v>
      </c>
      <c r="I79" s="70">
        <f>Gemini_CoT!AF15</f>
        <v>1</v>
      </c>
      <c r="J79" s="70">
        <f>Claude_ZeroShot!AF15</f>
        <v>1</v>
      </c>
      <c r="K79" s="70">
        <f>Claude_FewShot!AF15</f>
        <v>1</v>
      </c>
      <c r="L79" s="70">
        <f>Claude_CoT!AF15</f>
        <v>1</v>
      </c>
      <c r="M79" s="70">
        <f t="shared" si="1"/>
        <v>0</v>
      </c>
      <c r="N79" s="70">
        <f t="shared" si="2"/>
        <v>0</v>
      </c>
      <c r="O79" s="70">
        <f t="shared" si="3"/>
        <v>0</v>
      </c>
      <c r="P79" s="70">
        <f t="shared" si="4"/>
        <v>1</v>
      </c>
      <c r="Q79" s="70">
        <f t="shared" si="5"/>
        <v>1</v>
      </c>
      <c r="R79" s="70">
        <f t="shared" si="6"/>
        <v>1</v>
      </c>
      <c r="S79" s="70">
        <f t="shared" si="7"/>
        <v>1</v>
      </c>
      <c r="T79" s="70">
        <f t="shared" si="8"/>
        <v>1</v>
      </c>
      <c r="U79" s="70">
        <f t="shared" si="9"/>
        <v>1</v>
      </c>
    </row>
    <row r="80" ht="15.0" customHeight="1">
      <c r="A80" s="12" t="s">
        <v>65</v>
      </c>
      <c r="B80" s="76" t="s">
        <v>138</v>
      </c>
      <c r="C80" s="72">
        <f>Avaliacao_Humana!AL15</f>
        <v>2</v>
      </c>
      <c r="D80" s="72">
        <f>ChatGPT_ZeroShot!AL15</f>
        <v>4</v>
      </c>
      <c r="E80" s="72">
        <f>ChatGPT_FewShot!AL15</f>
        <v>1</v>
      </c>
      <c r="F80" s="72">
        <f>ChatGPT_CoT!AL15</f>
        <v>4</v>
      </c>
      <c r="G80" s="72">
        <f>Gemini_ZeroShot!AL15</f>
        <v>0</v>
      </c>
      <c r="H80" s="72">
        <f>Gemini_FewShot!AL15</f>
        <v>4</v>
      </c>
      <c r="I80" s="72">
        <f>Gemini_CoT!AL15</f>
        <v>0</v>
      </c>
      <c r="J80" s="72">
        <f>Claude_ZeroShot!AL15</f>
        <v>4</v>
      </c>
      <c r="K80" s="72">
        <f>Claude_FewShot!AL15</f>
        <v>0</v>
      </c>
      <c r="L80" s="72">
        <f>Claude_CoT!AL15</f>
        <v>0</v>
      </c>
      <c r="M80" s="72">
        <f t="shared" si="1"/>
        <v>2</v>
      </c>
      <c r="N80" s="72">
        <f t="shared" si="2"/>
        <v>1</v>
      </c>
      <c r="O80" s="72">
        <f t="shared" si="3"/>
        <v>2</v>
      </c>
      <c r="P80" s="72">
        <f t="shared" si="4"/>
        <v>2</v>
      </c>
      <c r="Q80" s="72">
        <f t="shared" si="5"/>
        <v>2</v>
      </c>
      <c r="R80" s="72">
        <f t="shared" si="6"/>
        <v>2</v>
      </c>
      <c r="S80" s="72">
        <f t="shared" si="7"/>
        <v>2</v>
      </c>
      <c r="T80" s="72">
        <f t="shared" si="8"/>
        <v>2</v>
      </c>
      <c r="U80" s="72">
        <f t="shared" si="9"/>
        <v>2</v>
      </c>
    </row>
    <row r="81" ht="15.0" customHeight="1">
      <c r="A81" s="29" t="s">
        <v>67</v>
      </c>
      <c r="B81" s="69" t="s">
        <v>133</v>
      </c>
      <c r="C81" s="70">
        <f>Avaliacao_Humana!H16</f>
        <v>0</v>
      </c>
      <c r="D81" s="70">
        <f>ChatGPT_ZeroShot!H16</f>
        <v>0</v>
      </c>
      <c r="E81" s="70">
        <f>ChatGPT_FewShot!H16</f>
        <v>0</v>
      </c>
      <c r="F81" s="70">
        <f>ChatGPT_CoT!H16</f>
        <v>0</v>
      </c>
      <c r="G81" s="70">
        <f>Gemini_ZeroShot!H16</f>
        <v>0</v>
      </c>
      <c r="H81" s="70">
        <f>Gemini_FewShot!H16</f>
        <v>0</v>
      </c>
      <c r="I81" s="70">
        <f>Gemini_CoT!H16</f>
        <v>0</v>
      </c>
      <c r="J81" s="70">
        <f>Claude_ZeroShot!H16</f>
        <v>0</v>
      </c>
      <c r="K81" s="70">
        <f>Claude_FewShot!H16</f>
        <v>0</v>
      </c>
      <c r="L81" s="70">
        <f>Claude_CoT!H16</f>
        <v>0</v>
      </c>
      <c r="M81" s="70">
        <f t="shared" si="1"/>
        <v>0</v>
      </c>
      <c r="N81" s="70">
        <f t="shared" si="2"/>
        <v>0</v>
      </c>
      <c r="O81" s="70">
        <f t="shared" si="3"/>
        <v>0</v>
      </c>
      <c r="P81" s="70">
        <f t="shared" si="4"/>
        <v>0</v>
      </c>
      <c r="Q81" s="70">
        <f t="shared" si="5"/>
        <v>0</v>
      </c>
      <c r="R81" s="70">
        <f t="shared" si="6"/>
        <v>0</v>
      </c>
      <c r="S81" s="70">
        <f t="shared" si="7"/>
        <v>0</v>
      </c>
      <c r="T81" s="70">
        <f t="shared" si="8"/>
        <v>0</v>
      </c>
      <c r="U81" s="70">
        <f t="shared" si="9"/>
        <v>0</v>
      </c>
    </row>
    <row r="82" ht="15.0" customHeight="1">
      <c r="A82" s="12" t="s">
        <v>67</v>
      </c>
      <c r="B82" s="71" t="s">
        <v>134</v>
      </c>
      <c r="C82" s="72">
        <f>Avaliacao_Humana!N16</f>
        <v>0</v>
      </c>
      <c r="D82" s="72">
        <f>ChatGPT_ZeroShot!N16</f>
        <v>0</v>
      </c>
      <c r="E82" s="72">
        <f>ChatGPT_FewShot!N16</f>
        <v>0</v>
      </c>
      <c r="F82" s="72">
        <f>ChatGPT_CoT!N16</f>
        <v>0</v>
      </c>
      <c r="G82" s="72">
        <f>Gemini_ZeroShot!N16</f>
        <v>0</v>
      </c>
      <c r="H82" s="72">
        <f>Gemini_FewShot!N16</f>
        <v>0</v>
      </c>
      <c r="I82" s="72">
        <f>Gemini_CoT!N16</f>
        <v>0</v>
      </c>
      <c r="J82" s="72">
        <f>Claude_ZeroShot!N16</f>
        <v>0</v>
      </c>
      <c r="K82" s="72">
        <f>Claude_FewShot!N16</f>
        <v>0</v>
      </c>
      <c r="L82" s="72">
        <f>Claude_CoT!N16</f>
        <v>0</v>
      </c>
      <c r="M82" s="72">
        <f t="shared" si="1"/>
        <v>0</v>
      </c>
      <c r="N82" s="72">
        <f t="shared" si="2"/>
        <v>0</v>
      </c>
      <c r="O82" s="72">
        <f t="shared" si="3"/>
        <v>0</v>
      </c>
      <c r="P82" s="72">
        <f t="shared" si="4"/>
        <v>0</v>
      </c>
      <c r="Q82" s="72">
        <f t="shared" si="5"/>
        <v>0</v>
      </c>
      <c r="R82" s="72">
        <f t="shared" si="6"/>
        <v>0</v>
      </c>
      <c r="S82" s="72">
        <f t="shared" si="7"/>
        <v>0</v>
      </c>
      <c r="T82" s="72">
        <f t="shared" si="8"/>
        <v>0</v>
      </c>
      <c r="U82" s="72">
        <f t="shared" si="9"/>
        <v>0</v>
      </c>
    </row>
    <row r="83" ht="15.0" customHeight="1">
      <c r="A83" s="29" t="s">
        <v>67</v>
      </c>
      <c r="B83" s="73" t="s">
        <v>135</v>
      </c>
      <c r="C83" s="70">
        <f>Avaliacao_Humana!T16</f>
        <v>0</v>
      </c>
      <c r="D83" s="70">
        <f>ChatGPT_ZeroShot!T16</f>
        <v>0</v>
      </c>
      <c r="E83" s="70">
        <f>ChatGPT_FewShot!T16</f>
        <v>0</v>
      </c>
      <c r="F83" s="70">
        <f>ChatGPT_CoT!T16</f>
        <v>0</v>
      </c>
      <c r="G83" s="70">
        <f>Gemini_ZeroShot!T16</f>
        <v>0</v>
      </c>
      <c r="H83" s="70">
        <f>Gemini_FewShot!T16</f>
        <v>0</v>
      </c>
      <c r="I83" s="70">
        <f>Gemini_CoT!T16</f>
        <v>0</v>
      </c>
      <c r="J83" s="70">
        <f>Claude_ZeroShot!T16</f>
        <v>0</v>
      </c>
      <c r="K83" s="70">
        <f>Claude_FewShot!T16</f>
        <v>0</v>
      </c>
      <c r="L83" s="70">
        <f>Claude_CoT!T16</f>
        <v>0</v>
      </c>
      <c r="M83" s="70">
        <f t="shared" si="1"/>
        <v>0</v>
      </c>
      <c r="N83" s="70">
        <f t="shared" si="2"/>
        <v>0</v>
      </c>
      <c r="O83" s="70">
        <f t="shared" si="3"/>
        <v>0</v>
      </c>
      <c r="P83" s="70">
        <f t="shared" si="4"/>
        <v>0</v>
      </c>
      <c r="Q83" s="70">
        <f t="shared" si="5"/>
        <v>0</v>
      </c>
      <c r="R83" s="70">
        <f t="shared" si="6"/>
        <v>0</v>
      </c>
      <c r="S83" s="70">
        <f t="shared" si="7"/>
        <v>0</v>
      </c>
      <c r="T83" s="70">
        <f t="shared" si="8"/>
        <v>0</v>
      </c>
      <c r="U83" s="70">
        <f t="shared" si="9"/>
        <v>0</v>
      </c>
    </row>
    <row r="84" ht="15.0" customHeight="1">
      <c r="A84" s="12" t="s">
        <v>67</v>
      </c>
      <c r="B84" s="74" t="s">
        <v>136</v>
      </c>
      <c r="C84" s="72">
        <f>Avaliacao_Humana!Z16</f>
        <v>0</v>
      </c>
      <c r="D84" s="72">
        <f>ChatGPT_ZeroShot!Z16</f>
        <v>0</v>
      </c>
      <c r="E84" s="72">
        <f>ChatGPT_FewShot!Z16</f>
        <v>0</v>
      </c>
      <c r="F84" s="72">
        <f>ChatGPT_CoT!Z16</f>
        <v>0</v>
      </c>
      <c r="G84" s="72">
        <f>Gemini_ZeroShot!Z16</f>
        <v>0</v>
      </c>
      <c r="H84" s="72">
        <f>Gemini_FewShot!Z16</f>
        <v>0</v>
      </c>
      <c r="I84" s="72">
        <f>Gemini_CoT!Z16</f>
        <v>0</v>
      </c>
      <c r="J84" s="72">
        <f>Claude_ZeroShot!Z16</f>
        <v>1</v>
      </c>
      <c r="K84" s="72">
        <f>Claude_FewShot!Z16</f>
        <v>0</v>
      </c>
      <c r="L84" s="72">
        <f>Claude_CoT!Z16</f>
        <v>1</v>
      </c>
      <c r="M84" s="72">
        <f t="shared" si="1"/>
        <v>0</v>
      </c>
      <c r="N84" s="72">
        <f t="shared" si="2"/>
        <v>0</v>
      </c>
      <c r="O84" s="72">
        <f t="shared" si="3"/>
        <v>0</v>
      </c>
      <c r="P84" s="72">
        <f t="shared" si="4"/>
        <v>0</v>
      </c>
      <c r="Q84" s="72">
        <f t="shared" si="5"/>
        <v>0</v>
      </c>
      <c r="R84" s="72">
        <f t="shared" si="6"/>
        <v>0</v>
      </c>
      <c r="S84" s="72">
        <f t="shared" si="7"/>
        <v>1</v>
      </c>
      <c r="T84" s="72">
        <f t="shared" si="8"/>
        <v>0</v>
      </c>
      <c r="U84" s="72">
        <f t="shared" si="9"/>
        <v>1</v>
      </c>
    </row>
    <row r="85" ht="15.0" customHeight="1">
      <c r="A85" s="29" t="s">
        <v>67</v>
      </c>
      <c r="B85" s="75" t="s">
        <v>137</v>
      </c>
      <c r="C85" s="70">
        <f>Avaliacao_Humana!AF16</f>
        <v>2</v>
      </c>
      <c r="D85" s="70">
        <f>ChatGPT_ZeroShot!AF16</f>
        <v>3</v>
      </c>
      <c r="E85" s="70">
        <f>ChatGPT_FewShot!AF16</f>
        <v>2</v>
      </c>
      <c r="F85" s="70">
        <f>ChatGPT_CoT!AF16</f>
        <v>3</v>
      </c>
      <c r="G85" s="70">
        <f>Gemini_ZeroShot!AF16</f>
        <v>1</v>
      </c>
      <c r="H85" s="70">
        <f>Gemini_FewShot!AF16</f>
        <v>1</v>
      </c>
      <c r="I85" s="70">
        <f>Gemini_CoT!AF16</f>
        <v>1</v>
      </c>
      <c r="J85" s="70">
        <f>Claude_ZeroShot!AF16</f>
        <v>2</v>
      </c>
      <c r="K85" s="70">
        <f>Claude_FewShot!AF16</f>
        <v>1</v>
      </c>
      <c r="L85" s="70">
        <f>Claude_CoT!AF16</f>
        <v>1</v>
      </c>
      <c r="M85" s="70">
        <f t="shared" si="1"/>
        <v>1</v>
      </c>
      <c r="N85" s="70">
        <f t="shared" si="2"/>
        <v>0</v>
      </c>
      <c r="O85" s="70">
        <f t="shared" si="3"/>
        <v>1</v>
      </c>
      <c r="P85" s="70">
        <f t="shared" si="4"/>
        <v>1</v>
      </c>
      <c r="Q85" s="70">
        <f t="shared" si="5"/>
        <v>1</v>
      </c>
      <c r="R85" s="70">
        <f t="shared" si="6"/>
        <v>1</v>
      </c>
      <c r="S85" s="70">
        <f t="shared" si="7"/>
        <v>0</v>
      </c>
      <c r="T85" s="70">
        <f t="shared" si="8"/>
        <v>1</v>
      </c>
      <c r="U85" s="70">
        <f t="shared" si="9"/>
        <v>1</v>
      </c>
    </row>
    <row r="86" ht="15.0" customHeight="1">
      <c r="A86" s="12" t="s">
        <v>67</v>
      </c>
      <c r="B86" s="76" t="s">
        <v>138</v>
      </c>
      <c r="C86" s="72">
        <f>Avaliacao_Humana!AL16</f>
        <v>2</v>
      </c>
      <c r="D86" s="72">
        <f>ChatGPT_ZeroShot!AL16</f>
        <v>4</v>
      </c>
      <c r="E86" s="72">
        <f>ChatGPT_FewShot!AL16</f>
        <v>1</v>
      </c>
      <c r="F86" s="72">
        <f>ChatGPT_CoT!AL16</f>
        <v>4</v>
      </c>
      <c r="G86" s="72">
        <f>Gemini_ZeroShot!AL16</f>
        <v>0</v>
      </c>
      <c r="H86" s="72">
        <f>Gemini_FewShot!AL16</f>
        <v>4</v>
      </c>
      <c r="I86" s="72">
        <f>Gemini_CoT!AL16</f>
        <v>0</v>
      </c>
      <c r="J86" s="72">
        <f>Claude_ZeroShot!AL16</f>
        <v>4</v>
      </c>
      <c r="K86" s="72">
        <f>Claude_FewShot!AL16</f>
        <v>0</v>
      </c>
      <c r="L86" s="72">
        <f>Claude_CoT!AL16</f>
        <v>0</v>
      </c>
      <c r="M86" s="72">
        <f t="shared" si="1"/>
        <v>2</v>
      </c>
      <c r="N86" s="72">
        <f t="shared" si="2"/>
        <v>1</v>
      </c>
      <c r="O86" s="72">
        <f t="shared" si="3"/>
        <v>2</v>
      </c>
      <c r="P86" s="72">
        <f t="shared" si="4"/>
        <v>2</v>
      </c>
      <c r="Q86" s="72">
        <f t="shared" si="5"/>
        <v>2</v>
      </c>
      <c r="R86" s="72">
        <f t="shared" si="6"/>
        <v>2</v>
      </c>
      <c r="S86" s="72">
        <f t="shared" si="7"/>
        <v>2</v>
      </c>
      <c r="T86" s="72">
        <f t="shared" si="8"/>
        <v>2</v>
      </c>
      <c r="U86" s="72">
        <f t="shared" si="9"/>
        <v>2</v>
      </c>
    </row>
    <row r="87" ht="15.0" customHeight="1">
      <c r="A87" s="29" t="s">
        <v>69</v>
      </c>
      <c r="B87" s="69" t="s">
        <v>133</v>
      </c>
      <c r="C87" s="70">
        <f>Avaliacao_Humana!H17</f>
        <v>0</v>
      </c>
      <c r="D87" s="70">
        <f>ChatGPT_ZeroShot!H17</f>
        <v>0</v>
      </c>
      <c r="E87" s="70">
        <f>ChatGPT_FewShot!H17</f>
        <v>0</v>
      </c>
      <c r="F87" s="70">
        <f>ChatGPT_CoT!H17</f>
        <v>0</v>
      </c>
      <c r="G87" s="70">
        <f>Gemini_ZeroShot!H17</f>
        <v>0</v>
      </c>
      <c r="H87" s="70">
        <f>Gemini_FewShot!H17</f>
        <v>0</v>
      </c>
      <c r="I87" s="70">
        <f>Gemini_CoT!H17</f>
        <v>0</v>
      </c>
      <c r="J87" s="70">
        <f>Claude_ZeroShot!H17</f>
        <v>0</v>
      </c>
      <c r="K87" s="70">
        <f>Claude_FewShot!H17</f>
        <v>0</v>
      </c>
      <c r="L87" s="70">
        <f>Claude_CoT!H17</f>
        <v>0</v>
      </c>
      <c r="M87" s="70">
        <f t="shared" si="1"/>
        <v>0</v>
      </c>
      <c r="N87" s="70">
        <f t="shared" si="2"/>
        <v>0</v>
      </c>
      <c r="O87" s="70">
        <f t="shared" si="3"/>
        <v>0</v>
      </c>
      <c r="P87" s="70">
        <f t="shared" si="4"/>
        <v>0</v>
      </c>
      <c r="Q87" s="70">
        <f t="shared" si="5"/>
        <v>0</v>
      </c>
      <c r="R87" s="70">
        <f t="shared" si="6"/>
        <v>0</v>
      </c>
      <c r="S87" s="70">
        <f t="shared" si="7"/>
        <v>0</v>
      </c>
      <c r="T87" s="70">
        <f t="shared" si="8"/>
        <v>0</v>
      </c>
      <c r="U87" s="70">
        <f t="shared" si="9"/>
        <v>0</v>
      </c>
    </row>
    <row r="88" ht="15.0" customHeight="1">
      <c r="A88" s="12" t="s">
        <v>69</v>
      </c>
      <c r="B88" s="71" t="s">
        <v>134</v>
      </c>
      <c r="C88" s="72">
        <f>Avaliacao_Humana!N17</f>
        <v>0</v>
      </c>
      <c r="D88" s="72">
        <f>ChatGPT_ZeroShot!N17</f>
        <v>1</v>
      </c>
      <c r="E88" s="72">
        <f>ChatGPT_FewShot!N17</f>
        <v>0</v>
      </c>
      <c r="F88" s="72">
        <f>ChatGPT_CoT!N17</f>
        <v>1</v>
      </c>
      <c r="G88" s="72">
        <f>Gemini_ZeroShot!N17</f>
        <v>0</v>
      </c>
      <c r="H88" s="72">
        <f>Gemini_FewShot!N17</f>
        <v>0</v>
      </c>
      <c r="I88" s="72">
        <f>Gemini_CoT!N17</f>
        <v>0</v>
      </c>
      <c r="J88" s="72">
        <f>Claude_ZeroShot!N17</f>
        <v>0</v>
      </c>
      <c r="K88" s="72">
        <f>Claude_FewShot!N17</f>
        <v>0</v>
      </c>
      <c r="L88" s="72">
        <f>Claude_CoT!N17</f>
        <v>0</v>
      </c>
      <c r="M88" s="72">
        <f t="shared" si="1"/>
        <v>1</v>
      </c>
      <c r="N88" s="72">
        <f t="shared" si="2"/>
        <v>0</v>
      </c>
      <c r="O88" s="72">
        <f t="shared" si="3"/>
        <v>1</v>
      </c>
      <c r="P88" s="72">
        <f t="shared" si="4"/>
        <v>0</v>
      </c>
      <c r="Q88" s="72">
        <f t="shared" si="5"/>
        <v>0</v>
      </c>
      <c r="R88" s="72">
        <f t="shared" si="6"/>
        <v>0</v>
      </c>
      <c r="S88" s="72">
        <f t="shared" si="7"/>
        <v>0</v>
      </c>
      <c r="T88" s="72">
        <f t="shared" si="8"/>
        <v>0</v>
      </c>
      <c r="U88" s="72">
        <f t="shared" si="9"/>
        <v>0</v>
      </c>
    </row>
    <row r="89" ht="15.0" customHeight="1">
      <c r="A89" s="29" t="s">
        <v>69</v>
      </c>
      <c r="B89" s="73" t="s">
        <v>135</v>
      </c>
      <c r="C89" s="70">
        <f>Avaliacao_Humana!T17</f>
        <v>0</v>
      </c>
      <c r="D89" s="70">
        <f>ChatGPT_ZeroShot!T17</f>
        <v>0</v>
      </c>
      <c r="E89" s="70">
        <f>ChatGPT_FewShot!T17</f>
        <v>0</v>
      </c>
      <c r="F89" s="70">
        <f>ChatGPT_CoT!T17</f>
        <v>0</v>
      </c>
      <c r="G89" s="70">
        <f>Gemini_ZeroShot!T17</f>
        <v>0</v>
      </c>
      <c r="H89" s="70">
        <f>Gemini_FewShot!T17</f>
        <v>0</v>
      </c>
      <c r="I89" s="70">
        <f>Gemini_CoT!T17</f>
        <v>0</v>
      </c>
      <c r="J89" s="70">
        <f>Claude_ZeroShot!T17</f>
        <v>0</v>
      </c>
      <c r="K89" s="70">
        <f>Claude_FewShot!T17</f>
        <v>0</v>
      </c>
      <c r="L89" s="70">
        <f>Claude_CoT!T17</f>
        <v>0</v>
      </c>
      <c r="M89" s="70">
        <f t="shared" si="1"/>
        <v>0</v>
      </c>
      <c r="N89" s="70">
        <f t="shared" si="2"/>
        <v>0</v>
      </c>
      <c r="O89" s="70">
        <f t="shared" si="3"/>
        <v>0</v>
      </c>
      <c r="P89" s="70">
        <f t="shared" si="4"/>
        <v>0</v>
      </c>
      <c r="Q89" s="70">
        <f t="shared" si="5"/>
        <v>0</v>
      </c>
      <c r="R89" s="70">
        <f t="shared" si="6"/>
        <v>0</v>
      </c>
      <c r="S89" s="70">
        <f t="shared" si="7"/>
        <v>0</v>
      </c>
      <c r="T89" s="70">
        <f t="shared" si="8"/>
        <v>0</v>
      </c>
      <c r="U89" s="70">
        <f t="shared" si="9"/>
        <v>0</v>
      </c>
    </row>
    <row r="90" ht="15.0" customHeight="1">
      <c r="A90" s="12" t="s">
        <v>69</v>
      </c>
      <c r="B90" s="74" t="s">
        <v>136</v>
      </c>
      <c r="C90" s="72">
        <f>Avaliacao_Humana!Z17</f>
        <v>1</v>
      </c>
      <c r="D90" s="72">
        <f>ChatGPT_ZeroShot!Z17</f>
        <v>0</v>
      </c>
      <c r="E90" s="72">
        <f>ChatGPT_FewShot!Z17</f>
        <v>0</v>
      </c>
      <c r="F90" s="72">
        <f>ChatGPT_CoT!Z17</f>
        <v>0</v>
      </c>
      <c r="G90" s="72">
        <f>Gemini_ZeroShot!Z17</f>
        <v>0</v>
      </c>
      <c r="H90" s="72">
        <f>Gemini_FewShot!Z17</f>
        <v>0</v>
      </c>
      <c r="I90" s="72">
        <f>Gemini_CoT!Z17</f>
        <v>0</v>
      </c>
      <c r="J90" s="72">
        <f>Claude_ZeroShot!Z17</f>
        <v>1</v>
      </c>
      <c r="K90" s="72">
        <f>Claude_FewShot!Z17</f>
        <v>0</v>
      </c>
      <c r="L90" s="72">
        <f>Claude_CoT!Z17</f>
        <v>0</v>
      </c>
      <c r="M90" s="72">
        <f t="shared" si="1"/>
        <v>1</v>
      </c>
      <c r="N90" s="72">
        <f t="shared" si="2"/>
        <v>1</v>
      </c>
      <c r="O90" s="72">
        <f t="shared" si="3"/>
        <v>1</v>
      </c>
      <c r="P90" s="72">
        <f t="shared" si="4"/>
        <v>1</v>
      </c>
      <c r="Q90" s="72">
        <f t="shared" si="5"/>
        <v>1</v>
      </c>
      <c r="R90" s="72">
        <f t="shared" si="6"/>
        <v>1</v>
      </c>
      <c r="S90" s="72">
        <f t="shared" si="7"/>
        <v>0</v>
      </c>
      <c r="T90" s="72">
        <f t="shared" si="8"/>
        <v>1</v>
      </c>
      <c r="U90" s="72">
        <f t="shared" si="9"/>
        <v>1</v>
      </c>
    </row>
    <row r="91" ht="15.0" customHeight="1">
      <c r="A91" s="29" t="s">
        <v>69</v>
      </c>
      <c r="B91" s="75" t="s">
        <v>137</v>
      </c>
      <c r="C91" s="70">
        <f>Avaliacao_Humana!AF17</f>
        <v>0</v>
      </c>
      <c r="D91" s="70">
        <f>ChatGPT_ZeroShot!AF17</f>
        <v>0</v>
      </c>
      <c r="E91" s="70">
        <f>ChatGPT_FewShot!AF17</f>
        <v>0</v>
      </c>
      <c r="F91" s="70">
        <f>ChatGPT_CoT!AF17</f>
        <v>0</v>
      </c>
      <c r="G91" s="70">
        <f>Gemini_ZeroShot!AF17</f>
        <v>0</v>
      </c>
      <c r="H91" s="70">
        <f>Gemini_FewShot!AF17</f>
        <v>0</v>
      </c>
      <c r="I91" s="70">
        <f>Gemini_CoT!AF17</f>
        <v>0</v>
      </c>
      <c r="J91" s="70">
        <f>Claude_ZeroShot!AF17</f>
        <v>0</v>
      </c>
      <c r="K91" s="70">
        <f>Claude_FewShot!AF17</f>
        <v>0</v>
      </c>
      <c r="L91" s="70">
        <f>Claude_CoT!AF17</f>
        <v>0</v>
      </c>
      <c r="M91" s="70">
        <f t="shared" si="1"/>
        <v>0</v>
      </c>
      <c r="N91" s="70">
        <f t="shared" si="2"/>
        <v>0</v>
      </c>
      <c r="O91" s="70">
        <f t="shared" si="3"/>
        <v>0</v>
      </c>
      <c r="P91" s="70">
        <f t="shared" si="4"/>
        <v>0</v>
      </c>
      <c r="Q91" s="70">
        <f t="shared" si="5"/>
        <v>0</v>
      </c>
      <c r="R91" s="70">
        <f t="shared" si="6"/>
        <v>0</v>
      </c>
      <c r="S91" s="70">
        <f t="shared" si="7"/>
        <v>0</v>
      </c>
      <c r="T91" s="70">
        <f t="shared" si="8"/>
        <v>0</v>
      </c>
      <c r="U91" s="70">
        <f t="shared" si="9"/>
        <v>0</v>
      </c>
    </row>
    <row r="92" ht="15.0" customHeight="1">
      <c r="A92" s="12" t="s">
        <v>69</v>
      </c>
      <c r="B92" s="76" t="s">
        <v>138</v>
      </c>
      <c r="C92" s="72">
        <f>Avaliacao_Humana!AL17</f>
        <v>3</v>
      </c>
      <c r="D92" s="72">
        <f>ChatGPT_ZeroShot!AL17</f>
        <v>4</v>
      </c>
      <c r="E92" s="72">
        <f>ChatGPT_FewShot!AL17</f>
        <v>1</v>
      </c>
      <c r="F92" s="72">
        <f>ChatGPT_CoT!AL17</f>
        <v>4</v>
      </c>
      <c r="G92" s="72">
        <f>Gemini_ZeroShot!AL17</f>
        <v>0</v>
      </c>
      <c r="H92" s="72">
        <f>Gemini_FewShot!AL17</f>
        <v>4</v>
      </c>
      <c r="I92" s="72">
        <f>Gemini_CoT!AL17</f>
        <v>0</v>
      </c>
      <c r="J92" s="72">
        <f>Claude_ZeroShot!AL17</f>
        <v>4</v>
      </c>
      <c r="K92" s="72">
        <f>Claude_FewShot!AL17</f>
        <v>0</v>
      </c>
      <c r="L92" s="72">
        <f>Claude_CoT!AL17</f>
        <v>1</v>
      </c>
      <c r="M92" s="72">
        <f t="shared" si="1"/>
        <v>1</v>
      </c>
      <c r="N92" s="72">
        <f t="shared" si="2"/>
        <v>2</v>
      </c>
      <c r="O92" s="72">
        <f t="shared" si="3"/>
        <v>1</v>
      </c>
      <c r="P92" s="72">
        <f t="shared" si="4"/>
        <v>3</v>
      </c>
      <c r="Q92" s="72">
        <f t="shared" si="5"/>
        <v>1</v>
      </c>
      <c r="R92" s="72">
        <f t="shared" si="6"/>
        <v>3</v>
      </c>
      <c r="S92" s="72">
        <f t="shared" si="7"/>
        <v>1</v>
      </c>
      <c r="T92" s="72">
        <f t="shared" si="8"/>
        <v>3</v>
      </c>
      <c r="U92" s="72">
        <f t="shared" si="9"/>
        <v>2</v>
      </c>
    </row>
    <row r="93" ht="15.0" customHeight="1">
      <c r="A93" s="29" t="s">
        <v>71</v>
      </c>
      <c r="B93" s="69" t="s">
        <v>133</v>
      </c>
      <c r="C93" s="70">
        <f>Avaliacao_Humana!H18</f>
        <v>0</v>
      </c>
      <c r="D93" s="70">
        <f>ChatGPT_ZeroShot!H18</f>
        <v>0</v>
      </c>
      <c r="E93" s="70">
        <f>ChatGPT_FewShot!H18</f>
        <v>0</v>
      </c>
      <c r="F93" s="70">
        <f>ChatGPT_CoT!H18</f>
        <v>0</v>
      </c>
      <c r="G93" s="70">
        <f>Gemini_ZeroShot!H18</f>
        <v>0</v>
      </c>
      <c r="H93" s="70">
        <f>Gemini_FewShot!H18</f>
        <v>0</v>
      </c>
      <c r="I93" s="70">
        <f>Gemini_CoT!H18</f>
        <v>0</v>
      </c>
      <c r="J93" s="70">
        <f>Claude_ZeroShot!H18</f>
        <v>0</v>
      </c>
      <c r="K93" s="70">
        <f>Claude_FewShot!H18</f>
        <v>0</v>
      </c>
      <c r="L93" s="70">
        <f>Claude_CoT!H18</f>
        <v>0</v>
      </c>
      <c r="M93" s="70">
        <f t="shared" si="1"/>
        <v>0</v>
      </c>
      <c r="N93" s="70">
        <f t="shared" si="2"/>
        <v>0</v>
      </c>
      <c r="O93" s="70">
        <f t="shared" si="3"/>
        <v>0</v>
      </c>
      <c r="P93" s="70">
        <f t="shared" si="4"/>
        <v>0</v>
      </c>
      <c r="Q93" s="70">
        <f t="shared" si="5"/>
        <v>0</v>
      </c>
      <c r="R93" s="70">
        <f t="shared" si="6"/>
        <v>0</v>
      </c>
      <c r="S93" s="70">
        <f t="shared" si="7"/>
        <v>0</v>
      </c>
      <c r="T93" s="70">
        <f t="shared" si="8"/>
        <v>0</v>
      </c>
      <c r="U93" s="70">
        <f t="shared" si="9"/>
        <v>0</v>
      </c>
    </row>
    <row r="94" ht="15.0" customHeight="1">
      <c r="A94" s="12" t="s">
        <v>71</v>
      </c>
      <c r="B94" s="71" t="s">
        <v>134</v>
      </c>
      <c r="C94" s="72">
        <f>Avaliacao_Humana!N18</f>
        <v>1</v>
      </c>
      <c r="D94" s="72">
        <f>ChatGPT_ZeroShot!N18</f>
        <v>1</v>
      </c>
      <c r="E94" s="72">
        <f>ChatGPT_FewShot!N18</f>
        <v>0</v>
      </c>
      <c r="F94" s="72">
        <f>ChatGPT_CoT!N18</f>
        <v>0</v>
      </c>
      <c r="G94" s="72">
        <f>Gemini_ZeroShot!N18</f>
        <v>0</v>
      </c>
      <c r="H94" s="72">
        <f>Gemini_FewShot!N18</f>
        <v>0</v>
      </c>
      <c r="I94" s="72">
        <f>Gemini_CoT!N18</f>
        <v>0</v>
      </c>
      <c r="J94" s="72">
        <f>Claude_ZeroShot!N18</f>
        <v>1</v>
      </c>
      <c r="K94" s="72">
        <f>Claude_FewShot!N18</f>
        <v>0</v>
      </c>
      <c r="L94" s="72">
        <f>Claude_CoT!N18</f>
        <v>1</v>
      </c>
      <c r="M94" s="72">
        <f t="shared" si="1"/>
        <v>0</v>
      </c>
      <c r="N94" s="72">
        <f t="shared" si="2"/>
        <v>1</v>
      </c>
      <c r="O94" s="72">
        <f t="shared" si="3"/>
        <v>1</v>
      </c>
      <c r="P94" s="72">
        <f t="shared" si="4"/>
        <v>1</v>
      </c>
      <c r="Q94" s="72">
        <f t="shared" si="5"/>
        <v>1</v>
      </c>
      <c r="R94" s="72">
        <f t="shared" si="6"/>
        <v>1</v>
      </c>
      <c r="S94" s="72">
        <f t="shared" si="7"/>
        <v>0</v>
      </c>
      <c r="T94" s="72">
        <f t="shared" si="8"/>
        <v>1</v>
      </c>
      <c r="U94" s="72">
        <f t="shared" si="9"/>
        <v>0</v>
      </c>
    </row>
    <row r="95" ht="15.0" customHeight="1">
      <c r="A95" s="29" t="s">
        <v>71</v>
      </c>
      <c r="B95" s="73" t="s">
        <v>135</v>
      </c>
      <c r="C95" s="70">
        <f>Avaliacao_Humana!T18</f>
        <v>2</v>
      </c>
      <c r="D95" s="70">
        <f>ChatGPT_ZeroShot!T18</f>
        <v>1</v>
      </c>
      <c r="E95" s="70">
        <f>ChatGPT_FewShot!T18</f>
        <v>1</v>
      </c>
      <c r="F95" s="70">
        <f>ChatGPT_CoT!T18</f>
        <v>0</v>
      </c>
      <c r="G95" s="70">
        <f>Gemini_ZeroShot!T18</f>
        <v>1</v>
      </c>
      <c r="H95" s="70">
        <f>Gemini_FewShot!T18</f>
        <v>1</v>
      </c>
      <c r="I95" s="70">
        <f>Gemini_CoT!T18</f>
        <v>0</v>
      </c>
      <c r="J95" s="70">
        <f>Claude_ZeroShot!T18</f>
        <v>1</v>
      </c>
      <c r="K95" s="70">
        <f>Claude_FewShot!T18</f>
        <v>1</v>
      </c>
      <c r="L95" s="70">
        <f>Claude_CoT!T18</f>
        <v>1</v>
      </c>
      <c r="M95" s="70">
        <f t="shared" si="1"/>
        <v>1</v>
      </c>
      <c r="N95" s="70">
        <f t="shared" si="2"/>
        <v>1</v>
      </c>
      <c r="O95" s="70">
        <f t="shared" si="3"/>
        <v>2</v>
      </c>
      <c r="P95" s="70">
        <f t="shared" si="4"/>
        <v>1</v>
      </c>
      <c r="Q95" s="70">
        <f t="shared" si="5"/>
        <v>1</v>
      </c>
      <c r="R95" s="70">
        <f t="shared" si="6"/>
        <v>2</v>
      </c>
      <c r="S95" s="70">
        <f t="shared" si="7"/>
        <v>1</v>
      </c>
      <c r="T95" s="70">
        <f t="shared" si="8"/>
        <v>1</v>
      </c>
      <c r="U95" s="70">
        <f t="shared" si="9"/>
        <v>1</v>
      </c>
    </row>
    <row r="96" ht="15.0" customHeight="1">
      <c r="A96" s="12" t="s">
        <v>71</v>
      </c>
      <c r="B96" s="74" t="s">
        <v>136</v>
      </c>
      <c r="C96" s="72">
        <f>Avaliacao_Humana!Z18</f>
        <v>0</v>
      </c>
      <c r="D96" s="72">
        <f>ChatGPT_ZeroShot!Z18</f>
        <v>0</v>
      </c>
      <c r="E96" s="72">
        <f>ChatGPT_FewShot!Z18</f>
        <v>1</v>
      </c>
      <c r="F96" s="72">
        <f>ChatGPT_CoT!Z18</f>
        <v>1</v>
      </c>
      <c r="G96" s="72">
        <f>Gemini_ZeroShot!Z18</f>
        <v>0</v>
      </c>
      <c r="H96" s="72">
        <f>Gemini_FewShot!Z18</f>
        <v>1</v>
      </c>
      <c r="I96" s="72">
        <f>Gemini_CoT!Z18</f>
        <v>1</v>
      </c>
      <c r="J96" s="72">
        <f>Claude_ZeroShot!Z18</f>
        <v>0</v>
      </c>
      <c r="K96" s="72">
        <f>Claude_FewShot!Z18</f>
        <v>0</v>
      </c>
      <c r="L96" s="72">
        <f>Claude_CoT!Z18</f>
        <v>0</v>
      </c>
      <c r="M96" s="72">
        <f t="shared" si="1"/>
        <v>0</v>
      </c>
      <c r="N96" s="72">
        <f t="shared" si="2"/>
        <v>1</v>
      </c>
      <c r="O96" s="72">
        <f t="shared" si="3"/>
        <v>1</v>
      </c>
      <c r="P96" s="72">
        <f t="shared" si="4"/>
        <v>0</v>
      </c>
      <c r="Q96" s="72">
        <f t="shared" si="5"/>
        <v>1</v>
      </c>
      <c r="R96" s="72">
        <f t="shared" si="6"/>
        <v>1</v>
      </c>
      <c r="S96" s="72">
        <f t="shared" si="7"/>
        <v>0</v>
      </c>
      <c r="T96" s="72">
        <f t="shared" si="8"/>
        <v>0</v>
      </c>
      <c r="U96" s="72">
        <f t="shared" si="9"/>
        <v>0</v>
      </c>
    </row>
    <row r="97" ht="15.0" customHeight="1">
      <c r="A97" s="29" t="s">
        <v>71</v>
      </c>
      <c r="B97" s="75" t="s">
        <v>137</v>
      </c>
      <c r="C97" s="70">
        <f>Avaliacao_Humana!AF18</f>
        <v>0</v>
      </c>
      <c r="D97" s="70">
        <f>ChatGPT_ZeroShot!AF18</f>
        <v>0</v>
      </c>
      <c r="E97" s="70">
        <f>ChatGPT_FewShot!AF18</f>
        <v>0</v>
      </c>
      <c r="F97" s="70">
        <f>ChatGPT_CoT!AF18</f>
        <v>0</v>
      </c>
      <c r="G97" s="70">
        <f>Gemini_ZeroShot!AF18</f>
        <v>0</v>
      </c>
      <c r="H97" s="70">
        <f>Gemini_FewShot!AF18</f>
        <v>0</v>
      </c>
      <c r="I97" s="70">
        <f>Gemini_CoT!AF18</f>
        <v>0</v>
      </c>
      <c r="J97" s="70">
        <f>Claude_ZeroShot!AF18</f>
        <v>0</v>
      </c>
      <c r="K97" s="70">
        <f>Claude_FewShot!AF18</f>
        <v>0</v>
      </c>
      <c r="L97" s="70">
        <f>Claude_CoT!AF18</f>
        <v>0</v>
      </c>
      <c r="M97" s="70">
        <f t="shared" si="1"/>
        <v>0</v>
      </c>
      <c r="N97" s="70">
        <f t="shared" si="2"/>
        <v>0</v>
      </c>
      <c r="O97" s="70">
        <f t="shared" si="3"/>
        <v>0</v>
      </c>
      <c r="P97" s="70">
        <f t="shared" si="4"/>
        <v>0</v>
      </c>
      <c r="Q97" s="70">
        <f t="shared" si="5"/>
        <v>0</v>
      </c>
      <c r="R97" s="70">
        <f t="shared" si="6"/>
        <v>0</v>
      </c>
      <c r="S97" s="70">
        <f t="shared" si="7"/>
        <v>0</v>
      </c>
      <c r="T97" s="70">
        <f t="shared" si="8"/>
        <v>0</v>
      </c>
      <c r="U97" s="70">
        <f t="shared" si="9"/>
        <v>0</v>
      </c>
    </row>
    <row r="98" ht="15.0" customHeight="1">
      <c r="A98" s="12" t="s">
        <v>71</v>
      </c>
      <c r="B98" s="76" t="s">
        <v>138</v>
      </c>
      <c r="C98" s="72">
        <f>Avaliacao_Humana!AL18</f>
        <v>2</v>
      </c>
      <c r="D98" s="72">
        <f>ChatGPT_ZeroShot!AL18</f>
        <v>4</v>
      </c>
      <c r="E98" s="72">
        <f>ChatGPT_FewShot!AL18</f>
        <v>1</v>
      </c>
      <c r="F98" s="72">
        <f>ChatGPT_CoT!AL18</f>
        <v>4</v>
      </c>
      <c r="G98" s="72">
        <f>Gemini_ZeroShot!AL18</f>
        <v>0</v>
      </c>
      <c r="H98" s="72">
        <f>Gemini_FewShot!AL18</f>
        <v>5</v>
      </c>
      <c r="I98" s="72">
        <f>Gemini_CoT!AL18</f>
        <v>0</v>
      </c>
      <c r="J98" s="72">
        <f>Claude_ZeroShot!AL18</f>
        <v>4</v>
      </c>
      <c r="K98" s="72">
        <f>Claude_FewShot!AL18</f>
        <v>0</v>
      </c>
      <c r="L98" s="72">
        <f>Claude_CoT!AL18</f>
        <v>1</v>
      </c>
      <c r="M98" s="72">
        <f t="shared" si="1"/>
        <v>2</v>
      </c>
      <c r="N98" s="72">
        <f t="shared" si="2"/>
        <v>1</v>
      </c>
      <c r="O98" s="72">
        <f t="shared" si="3"/>
        <v>2</v>
      </c>
      <c r="P98" s="72">
        <f t="shared" si="4"/>
        <v>2</v>
      </c>
      <c r="Q98" s="72">
        <f t="shared" si="5"/>
        <v>3</v>
      </c>
      <c r="R98" s="72">
        <f t="shared" si="6"/>
        <v>2</v>
      </c>
      <c r="S98" s="72">
        <f t="shared" si="7"/>
        <v>2</v>
      </c>
      <c r="T98" s="72">
        <f t="shared" si="8"/>
        <v>2</v>
      </c>
      <c r="U98" s="72">
        <f t="shared" si="9"/>
        <v>1</v>
      </c>
    </row>
    <row r="99" ht="15.0" customHeight="1">
      <c r="A99" s="29" t="s">
        <v>73</v>
      </c>
      <c r="B99" s="69" t="s">
        <v>133</v>
      </c>
      <c r="C99" s="70">
        <f>Avaliacao_Humana!H19</f>
        <v>0</v>
      </c>
      <c r="D99" s="70">
        <f>ChatGPT_ZeroShot!H19</f>
        <v>0</v>
      </c>
      <c r="E99" s="70">
        <f>ChatGPT_FewShot!H19</f>
        <v>0</v>
      </c>
      <c r="F99" s="70">
        <f>ChatGPT_CoT!H19</f>
        <v>0</v>
      </c>
      <c r="G99" s="70">
        <f>Gemini_ZeroShot!H19</f>
        <v>0</v>
      </c>
      <c r="H99" s="70">
        <f>Gemini_FewShot!H19</f>
        <v>0</v>
      </c>
      <c r="I99" s="70">
        <f>Gemini_CoT!H19</f>
        <v>0</v>
      </c>
      <c r="J99" s="70">
        <f>Claude_ZeroShot!H19</f>
        <v>0</v>
      </c>
      <c r="K99" s="70">
        <f>Claude_FewShot!H19</f>
        <v>0</v>
      </c>
      <c r="L99" s="70">
        <f>Claude_CoT!H19</f>
        <v>0</v>
      </c>
      <c r="M99" s="70">
        <f t="shared" si="1"/>
        <v>0</v>
      </c>
      <c r="N99" s="70">
        <f t="shared" si="2"/>
        <v>0</v>
      </c>
      <c r="O99" s="70">
        <f t="shared" si="3"/>
        <v>0</v>
      </c>
      <c r="P99" s="70">
        <f t="shared" si="4"/>
        <v>0</v>
      </c>
      <c r="Q99" s="70">
        <f t="shared" si="5"/>
        <v>0</v>
      </c>
      <c r="R99" s="70">
        <f t="shared" si="6"/>
        <v>0</v>
      </c>
      <c r="S99" s="70">
        <f t="shared" si="7"/>
        <v>0</v>
      </c>
      <c r="T99" s="70">
        <f t="shared" si="8"/>
        <v>0</v>
      </c>
      <c r="U99" s="70">
        <f t="shared" si="9"/>
        <v>0</v>
      </c>
    </row>
    <row r="100" ht="15.0" customHeight="1">
      <c r="A100" s="12" t="s">
        <v>73</v>
      </c>
      <c r="B100" s="71" t="s">
        <v>134</v>
      </c>
      <c r="C100" s="72">
        <f>Avaliacao_Humana!N19</f>
        <v>0</v>
      </c>
      <c r="D100" s="72">
        <f>ChatGPT_ZeroShot!N19</f>
        <v>1</v>
      </c>
      <c r="E100" s="72">
        <f>ChatGPT_FewShot!N19</f>
        <v>0</v>
      </c>
      <c r="F100" s="72">
        <f>ChatGPT_CoT!N19</f>
        <v>0</v>
      </c>
      <c r="G100" s="72">
        <f>Gemini_ZeroShot!N19</f>
        <v>0</v>
      </c>
      <c r="H100" s="72">
        <f>Gemini_FewShot!N19</f>
        <v>0</v>
      </c>
      <c r="I100" s="72">
        <f>Gemini_CoT!N19</f>
        <v>0</v>
      </c>
      <c r="J100" s="72">
        <f>Claude_ZeroShot!N19</f>
        <v>0</v>
      </c>
      <c r="K100" s="72">
        <f>Claude_FewShot!N19</f>
        <v>0</v>
      </c>
      <c r="L100" s="72">
        <f>Claude_CoT!N19</f>
        <v>0</v>
      </c>
      <c r="M100" s="72">
        <f t="shared" si="1"/>
        <v>1</v>
      </c>
      <c r="N100" s="72">
        <f t="shared" si="2"/>
        <v>0</v>
      </c>
      <c r="O100" s="72">
        <f t="shared" si="3"/>
        <v>0</v>
      </c>
      <c r="P100" s="72">
        <f t="shared" si="4"/>
        <v>0</v>
      </c>
      <c r="Q100" s="72">
        <f t="shared" si="5"/>
        <v>0</v>
      </c>
      <c r="R100" s="72">
        <f t="shared" si="6"/>
        <v>0</v>
      </c>
      <c r="S100" s="72">
        <f t="shared" si="7"/>
        <v>0</v>
      </c>
      <c r="T100" s="72">
        <f t="shared" si="8"/>
        <v>0</v>
      </c>
      <c r="U100" s="72">
        <f t="shared" si="9"/>
        <v>0</v>
      </c>
    </row>
    <row r="101" ht="15.0" customHeight="1">
      <c r="A101" s="29" t="s">
        <v>73</v>
      </c>
      <c r="B101" s="73" t="s">
        <v>135</v>
      </c>
      <c r="C101" s="70">
        <f>Avaliacao_Humana!T19</f>
        <v>0</v>
      </c>
      <c r="D101" s="70">
        <f>ChatGPT_ZeroShot!T19</f>
        <v>0</v>
      </c>
      <c r="E101" s="70">
        <f>ChatGPT_FewShot!T19</f>
        <v>0</v>
      </c>
      <c r="F101" s="70">
        <f>ChatGPT_CoT!T19</f>
        <v>0</v>
      </c>
      <c r="G101" s="70">
        <f>Gemini_ZeroShot!T19</f>
        <v>0</v>
      </c>
      <c r="H101" s="70">
        <f>Gemini_FewShot!T19</f>
        <v>0</v>
      </c>
      <c r="I101" s="70">
        <f>Gemini_CoT!T19</f>
        <v>0</v>
      </c>
      <c r="J101" s="70">
        <f>Claude_ZeroShot!T19</f>
        <v>0</v>
      </c>
      <c r="K101" s="70">
        <f>Claude_FewShot!T19</f>
        <v>0</v>
      </c>
      <c r="L101" s="70">
        <f>Claude_CoT!T19</f>
        <v>0</v>
      </c>
      <c r="M101" s="70">
        <f t="shared" si="1"/>
        <v>0</v>
      </c>
      <c r="N101" s="70">
        <f t="shared" si="2"/>
        <v>0</v>
      </c>
      <c r="O101" s="70">
        <f t="shared" si="3"/>
        <v>0</v>
      </c>
      <c r="P101" s="70">
        <f t="shared" si="4"/>
        <v>0</v>
      </c>
      <c r="Q101" s="70">
        <f t="shared" si="5"/>
        <v>0</v>
      </c>
      <c r="R101" s="70">
        <f t="shared" si="6"/>
        <v>0</v>
      </c>
      <c r="S101" s="70">
        <f t="shared" si="7"/>
        <v>0</v>
      </c>
      <c r="T101" s="70">
        <f t="shared" si="8"/>
        <v>0</v>
      </c>
      <c r="U101" s="70">
        <f t="shared" si="9"/>
        <v>0</v>
      </c>
    </row>
    <row r="102" ht="15.0" customHeight="1">
      <c r="A102" s="12" t="s">
        <v>73</v>
      </c>
      <c r="B102" s="74" t="s">
        <v>136</v>
      </c>
      <c r="C102" s="72">
        <f>Avaliacao_Humana!Z19</f>
        <v>0</v>
      </c>
      <c r="D102" s="72">
        <f>ChatGPT_ZeroShot!Z19</f>
        <v>0</v>
      </c>
      <c r="E102" s="72">
        <f>ChatGPT_FewShot!Z19</f>
        <v>0</v>
      </c>
      <c r="F102" s="72">
        <f>ChatGPT_CoT!Z19</f>
        <v>0</v>
      </c>
      <c r="G102" s="72">
        <f>Gemini_ZeroShot!Z19</f>
        <v>0</v>
      </c>
      <c r="H102" s="72">
        <f>Gemini_FewShot!Z19</f>
        <v>1</v>
      </c>
      <c r="I102" s="72">
        <f>Gemini_CoT!Z19</f>
        <v>0</v>
      </c>
      <c r="J102" s="72">
        <f>Claude_ZeroShot!Z19</f>
        <v>1</v>
      </c>
      <c r="K102" s="72">
        <f>Claude_FewShot!Z19</f>
        <v>0</v>
      </c>
      <c r="L102" s="72">
        <f>Claude_CoT!Z19</f>
        <v>1</v>
      </c>
      <c r="M102" s="72">
        <f t="shared" si="1"/>
        <v>0</v>
      </c>
      <c r="N102" s="72">
        <f t="shared" si="2"/>
        <v>0</v>
      </c>
      <c r="O102" s="72">
        <f t="shared" si="3"/>
        <v>0</v>
      </c>
      <c r="P102" s="72">
        <f t="shared" si="4"/>
        <v>0</v>
      </c>
      <c r="Q102" s="72">
        <f t="shared" si="5"/>
        <v>1</v>
      </c>
      <c r="R102" s="72">
        <f t="shared" si="6"/>
        <v>0</v>
      </c>
      <c r="S102" s="72">
        <f t="shared" si="7"/>
        <v>1</v>
      </c>
      <c r="T102" s="72">
        <f t="shared" si="8"/>
        <v>0</v>
      </c>
      <c r="U102" s="72">
        <f t="shared" si="9"/>
        <v>1</v>
      </c>
    </row>
    <row r="103" ht="15.0" customHeight="1">
      <c r="A103" s="29" t="s">
        <v>73</v>
      </c>
      <c r="B103" s="75" t="s">
        <v>137</v>
      </c>
      <c r="C103" s="70">
        <f>Avaliacao_Humana!AF19</f>
        <v>1</v>
      </c>
      <c r="D103" s="70">
        <f>ChatGPT_ZeroShot!AF19</f>
        <v>3</v>
      </c>
      <c r="E103" s="70">
        <f>ChatGPT_FewShot!AF19</f>
        <v>0</v>
      </c>
      <c r="F103" s="70">
        <f>ChatGPT_CoT!AF19</f>
        <v>0</v>
      </c>
      <c r="G103" s="70">
        <f>Gemini_ZeroShot!AF19</f>
        <v>0</v>
      </c>
      <c r="H103" s="70">
        <f>Gemini_FewShot!AF19</f>
        <v>0</v>
      </c>
      <c r="I103" s="70">
        <f>Gemini_CoT!AF19</f>
        <v>0</v>
      </c>
      <c r="J103" s="70">
        <f>Claude_ZeroShot!AF19</f>
        <v>0</v>
      </c>
      <c r="K103" s="70">
        <f>Claude_FewShot!AF19</f>
        <v>0</v>
      </c>
      <c r="L103" s="70">
        <f>Claude_CoT!AF19</f>
        <v>0</v>
      </c>
      <c r="M103" s="70">
        <f t="shared" si="1"/>
        <v>2</v>
      </c>
      <c r="N103" s="70">
        <f t="shared" si="2"/>
        <v>1</v>
      </c>
      <c r="O103" s="70">
        <f t="shared" si="3"/>
        <v>1</v>
      </c>
      <c r="P103" s="70">
        <f t="shared" si="4"/>
        <v>1</v>
      </c>
      <c r="Q103" s="70">
        <f t="shared" si="5"/>
        <v>1</v>
      </c>
      <c r="R103" s="70">
        <f t="shared" si="6"/>
        <v>1</v>
      </c>
      <c r="S103" s="70">
        <f t="shared" si="7"/>
        <v>1</v>
      </c>
      <c r="T103" s="70">
        <f t="shared" si="8"/>
        <v>1</v>
      </c>
      <c r="U103" s="70">
        <f t="shared" si="9"/>
        <v>1</v>
      </c>
    </row>
    <row r="104" ht="15.0" customHeight="1">
      <c r="A104" s="12" t="s">
        <v>73</v>
      </c>
      <c r="B104" s="76" t="s">
        <v>138</v>
      </c>
      <c r="C104" s="72">
        <f>Avaliacao_Humana!AL19</f>
        <v>3</v>
      </c>
      <c r="D104" s="72">
        <f>ChatGPT_ZeroShot!AL19</f>
        <v>4</v>
      </c>
      <c r="E104" s="72">
        <f>ChatGPT_FewShot!AL19</f>
        <v>1</v>
      </c>
      <c r="F104" s="72">
        <f>ChatGPT_CoT!AL19</f>
        <v>4</v>
      </c>
      <c r="G104" s="72">
        <f>Gemini_ZeroShot!AL19</f>
        <v>1</v>
      </c>
      <c r="H104" s="72">
        <f>Gemini_FewShot!AL19</f>
        <v>4</v>
      </c>
      <c r="I104" s="72">
        <f>Gemini_CoT!AL19</f>
        <v>1</v>
      </c>
      <c r="J104" s="72">
        <f>Claude_ZeroShot!AL19</f>
        <v>4</v>
      </c>
      <c r="K104" s="72">
        <f>Claude_FewShot!AL19</f>
        <v>1</v>
      </c>
      <c r="L104" s="72">
        <f>Claude_CoT!AL19</f>
        <v>1</v>
      </c>
      <c r="M104" s="72">
        <f t="shared" si="1"/>
        <v>1</v>
      </c>
      <c r="N104" s="72">
        <f t="shared" si="2"/>
        <v>2</v>
      </c>
      <c r="O104" s="72">
        <f t="shared" si="3"/>
        <v>1</v>
      </c>
      <c r="P104" s="72">
        <f t="shared" si="4"/>
        <v>2</v>
      </c>
      <c r="Q104" s="72">
        <f t="shared" si="5"/>
        <v>1</v>
      </c>
      <c r="R104" s="72">
        <f t="shared" si="6"/>
        <v>2</v>
      </c>
      <c r="S104" s="72">
        <f t="shared" si="7"/>
        <v>1</v>
      </c>
      <c r="T104" s="72">
        <f t="shared" si="8"/>
        <v>2</v>
      </c>
      <c r="U104" s="72">
        <f t="shared" si="9"/>
        <v>2</v>
      </c>
    </row>
    <row r="105" ht="15.0" customHeight="1">
      <c r="A105" s="29" t="s">
        <v>75</v>
      </c>
      <c r="B105" s="69" t="s">
        <v>133</v>
      </c>
      <c r="C105" s="70">
        <f>Avaliacao_Humana!H20</f>
        <v>1</v>
      </c>
      <c r="D105" s="70">
        <f>ChatGPT_ZeroShot!H20</f>
        <v>0</v>
      </c>
      <c r="E105" s="70">
        <f>ChatGPT_FewShot!H20</f>
        <v>0</v>
      </c>
      <c r="F105" s="70">
        <f>ChatGPT_CoT!H20</f>
        <v>1</v>
      </c>
      <c r="G105" s="70">
        <f>Gemini_ZeroShot!H20</f>
        <v>0</v>
      </c>
      <c r="H105" s="70">
        <f>Gemini_FewShot!H20</f>
        <v>0</v>
      </c>
      <c r="I105" s="70">
        <f>Gemini_CoT!H20</f>
        <v>0</v>
      </c>
      <c r="J105" s="70">
        <f>Claude_ZeroShot!H20</f>
        <v>0</v>
      </c>
      <c r="K105" s="70">
        <f>Claude_FewShot!H20</f>
        <v>1</v>
      </c>
      <c r="L105" s="70">
        <f>Claude_CoT!H20</f>
        <v>0</v>
      </c>
      <c r="M105" s="70">
        <f t="shared" si="1"/>
        <v>1</v>
      </c>
      <c r="N105" s="70">
        <f t="shared" si="2"/>
        <v>1</v>
      </c>
      <c r="O105" s="70">
        <f t="shared" si="3"/>
        <v>0</v>
      </c>
      <c r="P105" s="70">
        <f t="shared" si="4"/>
        <v>1</v>
      </c>
      <c r="Q105" s="70">
        <f t="shared" si="5"/>
        <v>1</v>
      </c>
      <c r="R105" s="70">
        <f t="shared" si="6"/>
        <v>1</v>
      </c>
      <c r="S105" s="70">
        <f t="shared" si="7"/>
        <v>1</v>
      </c>
      <c r="T105" s="70">
        <f t="shared" si="8"/>
        <v>0</v>
      </c>
      <c r="U105" s="70">
        <f t="shared" si="9"/>
        <v>1</v>
      </c>
    </row>
    <row r="106" ht="15.0" customHeight="1">
      <c r="A106" s="12" t="s">
        <v>75</v>
      </c>
      <c r="B106" s="71" t="s">
        <v>134</v>
      </c>
      <c r="C106" s="72">
        <f>Avaliacao_Humana!N20</f>
        <v>0</v>
      </c>
      <c r="D106" s="72">
        <f>ChatGPT_ZeroShot!N20</f>
        <v>0</v>
      </c>
      <c r="E106" s="72">
        <f>ChatGPT_FewShot!N20</f>
        <v>0</v>
      </c>
      <c r="F106" s="72">
        <f>ChatGPT_CoT!N20</f>
        <v>0</v>
      </c>
      <c r="G106" s="72">
        <f>Gemini_ZeroShot!N20</f>
        <v>0</v>
      </c>
      <c r="H106" s="72">
        <f>Gemini_FewShot!N20</f>
        <v>0</v>
      </c>
      <c r="I106" s="72">
        <f>Gemini_CoT!N20</f>
        <v>0</v>
      </c>
      <c r="J106" s="72">
        <f>Claude_ZeroShot!N20</f>
        <v>0</v>
      </c>
      <c r="K106" s="72">
        <f>Claude_FewShot!N20</f>
        <v>0</v>
      </c>
      <c r="L106" s="72">
        <f>Claude_CoT!N20</f>
        <v>0</v>
      </c>
      <c r="M106" s="72">
        <f t="shared" si="1"/>
        <v>0</v>
      </c>
      <c r="N106" s="72">
        <f t="shared" si="2"/>
        <v>0</v>
      </c>
      <c r="O106" s="72">
        <f t="shared" si="3"/>
        <v>0</v>
      </c>
      <c r="P106" s="72">
        <f t="shared" si="4"/>
        <v>0</v>
      </c>
      <c r="Q106" s="72">
        <f t="shared" si="5"/>
        <v>0</v>
      </c>
      <c r="R106" s="72">
        <f t="shared" si="6"/>
        <v>0</v>
      </c>
      <c r="S106" s="72">
        <f t="shared" si="7"/>
        <v>0</v>
      </c>
      <c r="T106" s="72">
        <f t="shared" si="8"/>
        <v>0</v>
      </c>
      <c r="U106" s="72">
        <f t="shared" si="9"/>
        <v>0</v>
      </c>
    </row>
    <row r="107" ht="15.0" customHeight="1">
      <c r="A107" s="29" t="s">
        <v>75</v>
      </c>
      <c r="B107" s="73" t="s">
        <v>135</v>
      </c>
      <c r="C107" s="70">
        <f>Avaliacao_Humana!T20</f>
        <v>1</v>
      </c>
      <c r="D107" s="70">
        <f>ChatGPT_ZeroShot!T20</f>
        <v>0</v>
      </c>
      <c r="E107" s="70">
        <f>ChatGPT_FewShot!T20</f>
        <v>0</v>
      </c>
      <c r="F107" s="70">
        <f>ChatGPT_CoT!T20</f>
        <v>0</v>
      </c>
      <c r="G107" s="70">
        <f>Gemini_ZeroShot!T20</f>
        <v>0</v>
      </c>
      <c r="H107" s="70">
        <f>Gemini_FewShot!T20</f>
        <v>1</v>
      </c>
      <c r="I107" s="70">
        <f>Gemini_CoT!T20</f>
        <v>0</v>
      </c>
      <c r="J107" s="70">
        <f>Claude_ZeroShot!T20</f>
        <v>1</v>
      </c>
      <c r="K107" s="70">
        <f>Claude_FewShot!T20</f>
        <v>0</v>
      </c>
      <c r="L107" s="70">
        <f>Claude_CoT!T20</f>
        <v>0</v>
      </c>
      <c r="M107" s="70">
        <f t="shared" si="1"/>
        <v>1</v>
      </c>
      <c r="N107" s="70">
        <f t="shared" si="2"/>
        <v>1</v>
      </c>
      <c r="O107" s="70">
        <f t="shared" si="3"/>
        <v>1</v>
      </c>
      <c r="P107" s="70">
        <f t="shared" si="4"/>
        <v>1</v>
      </c>
      <c r="Q107" s="70">
        <f t="shared" si="5"/>
        <v>0</v>
      </c>
      <c r="R107" s="70">
        <f t="shared" si="6"/>
        <v>1</v>
      </c>
      <c r="S107" s="70">
        <f t="shared" si="7"/>
        <v>0</v>
      </c>
      <c r="T107" s="70">
        <f t="shared" si="8"/>
        <v>1</v>
      </c>
      <c r="U107" s="70">
        <f t="shared" si="9"/>
        <v>1</v>
      </c>
    </row>
    <row r="108" ht="15.0" customHeight="1">
      <c r="A108" s="12" t="s">
        <v>75</v>
      </c>
      <c r="B108" s="74" t="s">
        <v>136</v>
      </c>
      <c r="C108" s="72">
        <f>Avaliacao_Humana!Z20</f>
        <v>0</v>
      </c>
      <c r="D108" s="72">
        <f>ChatGPT_ZeroShot!Z20</f>
        <v>0</v>
      </c>
      <c r="E108" s="72">
        <f>ChatGPT_FewShot!Z20</f>
        <v>0</v>
      </c>
      <c r="F108" s="72">
        <f>ChatGPT_CoT!Z20</f>
        <v>0</v>
      </c>
      <c r="G108" s="72">
        <f>Gemini_ZeroShot!Z20</f>
        <v>0</v>
      </c>
      <c r="H108" s="72">
        <f>Gemini_FewShot!Z20</f>
        <v>0</v>
      </c>
      <c r="I108" s="72">
        <f>Gemini_CoT!Z20</f>
        <v>0</v>
      </c>
      <c r="J108" s="72">
        <f>Claude_ZeroShot!Z20</f>
        <v>0</v>
      </c>
      <c r="K108" s="72">
        <f>Claude_FewShot!Z20</f>
        <v>0</v>
      </c>
      <c r="L108" s="72">
        <f>Claude_CoT!Z20</f>
        <v>0</v>
      </c>
      <c r="M108" s="72">
        <f t="shared" si="1"/>
        <v>0</v>
      </c>
      <c r="N108" s="72">
        <f t="shared" si="2"/>
        <v>0</v>
      </c>
      <c r="O108" s="72">
        <f t="shared" si="3"/>
        <v>0</v>
      </c>
      <c r="P108" s="72">
        <f t="shared" si="4"/>
        <v>0</v>
      </c>
      <c r="Q108" s="72">
        <f t="shared" si="5"/>
        <v>0</v>
      </c>
      <c r="R108" s="72">
        <f t="shared" si="6"/>
        <v>0</v>
      </c>
      <c r="S108" s="72">
        <f t="shared" si="7"/>
        <v>0</v>
      </c>
      <c r="T108" s="72">
        <f t="shared" si="8"/>
        <v>0</v>
      </c>
      <c r="U108" s="72">
        <f t="shared" si="9"/>
        <v>0</v>
      </c>
    </row>
    <row r="109" ht="15.0" customHeight="1">
      <c r="A109" s="29" t="s">
        <v>75</v>
      </c>
      <c r="B109" s="75" t="s">
        <v>137</v>
      </c>
      <c r="C109" s="70">
        <f>Avaliacao_Humana!AF20</f>
        <v>0</v>
      </c>
      <c r="D109" s="70">
        <f>ChatGPT_ZeroShot!AF20</f>
        <v>0</v>
      </c>
      <c r="E109" s="70">
        <f>ChatGPT_FewShot!AF20</f>
        <v>0</v>
      </c>
      <c r="F109" s="70">
        <f>ChatGPT_CoT!AF20</f>
        <v>0</v>
      </c>
      <c r="G109" s="70">
        <f>Gemini_ZeroShot!AF20</f>
        <v>0</v>
      </c>
      <c r="H109" s="70">
        <f>Gemini_FewShot!AF20</f>
        <v>0</v>
      </c>
      <c r="I109" s="70">
        <f>Gemini_CoT!AF20</f>
        <v>0</v>
      </c>
      <c r="J109" s="70">
        <f>Claude_ZeroShot!AF20</f>
        <v>0</v>
      </c>
      <c r="K109" s="70">
        <f>Claude_FewShot!AF20</f>
        <v>0</v>
      </c>
      <c r="L109" s="70">
        <f>Claude_CoT!AF20</f>
        <v>0</v>
      </c>
      <c r="M109" s="70">
        <f t="shared" si="1"/>
        <v>0</v>
      </c>
      <c r="N109" s="70">
        <f t="shared" si="2"/>
        <v>0</v>
      </c>
      <c r="O109" s="70">
        <f t="shared" si="3"/>
        <v>0</v>
      </c>
      <c r="P109" s="70">
        <f t="shared" si="4"/>
        <v>0</v>
      </c>
      <c r="Q109" s="70">
        <f t="shared" si="5"/>
        <v>0</v>
      </c>
      <c r="R109" s="70">
        <f t="shared" si="6"/>
        <v>0</v>
      </c>
      <c r="S109" s="70">
        <f t="shared" si="7"/>
        <v>0</v>
      </c>
      <c r="T109" s="70">
        <f t="shared" si="8"/>
        <v>0</v>
      </c>
      <c r="U109" s="70">
        <f t="shared" si="9"/>
        <v>0</v>
      </c>
    </row>
    <row r="110" ht="15.0" customHeight="1">
      <c r="A110" s="12" t="s">
        <v>75</v>
      </c>
      <c r="B110" s="76" t="s">
        <v>138</v>
      </c>
      <c r="C110" s="72">
        <f>Avaliacao_Humana!AL20</f>
        <v>3</v>
      </c>
      <c r="D110" s="72">
        <f>ChatGPT_ZeroShot!AL20</f>
        <v>4</v>
      </c>
      <c r="E110" s="72">
        <f>ChatGPT_FewShot!AL20</f>
        <v>1</v>
      </c>
      <c r="F110" s="72">
        <f>ChatGPT_CoT!AL20</f>
        <v>4</v>
      </c>
      <c r="G110" s="72">
        <f>Gemini_ZeroShot!AL20</f>
        <v>0</v>
      </c>
      <c r="H110" s="72">
        <f>Gemini_FewShot!AL20</f>
        <v>5</v>
      </c>
      <c r="I110" s="72">
        <f>Gemini_CoT!AL20</f>
        <v>0</v>
      </c>
      <c r="J110" s="72">
        <f>Claude_ZeroShot!AL20</f>
        <v>4</v>
      </c>
      <c r="K110" s="72">
        <f>Claude_FewShot!AL20</f>
        <v>0</v>
      </c>
      <c r="L110" s="72">
        <f>Claude_CoT!AL20</f>
        <v>2</v>
      </c>
      <c r="M110" s="72">
        <f t="shared" si="1"/>
        <v>1</v>
      </c>
      <c r="N110" s="72">
        <f t="shared" si="2"/>
        <v>2</v>
      </c>
      <c r="O110" s="72">
        <f t="shared" si="3"/>
        <v>1</v>
      </c>
      <c r="P110" s="72">
        <f t="shared" si="4"/>
        <v>3</v>
      </c>
      <c r="Q110" s="72">
        <f t="shared" si="5"/>
        <v>2</v>
      </c>
      <c r="R110" s="72">
        <f t="shared" si="6"/>
        <v>3</v>
      </c>
      <c r="S110" s="72">
        <f t="shared" si="7"/>
        <v>1</v>
      </c>
      <c r="T110" s="72">
        <f t="shared" si="8"/>
        <v>3</v>
      </c>
      <c r="U110" s="72">
        <f t="shared" si="9"/>
        <v>1</v>
      </c>
    </row>
    <row r="111" ht="15.0" customHeight="1">
      <c r="A111" s="29" t="s">
        <v>77</v>
      </c>
      <c r="B111" s="69" t="s">
        <v>133</v>
      </c>
      <c r="C111" s="70">
        <f>Avaliacao_Humana!H21</f>
        <v>0</v>
      </c>
      <c r="D111" s="70">
        <f>ChatGPT_ZeroShot!H21</f>
        <v>0</v>
      </c>
      <c r="E111" s="70">
        <f>ChatGPT_FewShot!H21</f>
        <v>0</v>
      </c>
      <c r="F111" s="70">
        <f>ChatGPT_CoT!H21</f>
        <v>0</v>
      </c>
      <c r="G111" s="70">
        <f>Gemini_ZeroShot!H21</f>
        <v>0</v>
      </c>
      <c r="H111" s="70">
        <f>Gemini_FewShot!H21</f>
        <v>0</v>
      </c>
      <c r="I111" s="70">
        <f>Gemini_CoT!H21</f>
        <v>0</v>
      </c>
      <c r="J111" s="70">
        <f>Claude_ZeroShot!H21</f>
        <v>0</v>
      </c>
      <c r="K111" s="70">
        <f>Claude_FewShot!H21</f>
        <v>0</v>
      </c>
      <c r="L111" s="70">
        <f>Claude_CoT!H21</f>
        <v>0</v>
      </c>
      <c r="M111" s="70">
        <f t="shared" si="1"/>
        <v>0</v>
      </c>
      <c r="N111" s="70">
        <f t="shared" si="2"/>
        <v>0</v>
      </c>
      <c r="O111" s="70">
        <f t="shared" si="3"/>
        <v>0</v>
      </c>
      <c r="P111" s="70">
        <f t="shared" si="4"/>
        <v>0</v>
      </c>
      <c r="Q111" s="70">
        <f t="shared" si="5"/>
        <v>0</v>
      </c>
      <c r="R111" s="70">
        <f t="shared" si="6"/>
        <v>0</v>
      </c>
      <c r="S111" s="70">
        <f t="shared" si="7"/>
        <v>0</v>
      </c>
      <c r="T111" s="70">
        <f t="shared" si="8"/>
        <v>0</v>
      </c>
      <c r="U111" s="70">
        <f t="shared" si="9"/>
        <v>0</v>
      </c>
    </row>
    <row r="112" ht="15.0" customHeight="1">
      <c r="A112" s="12" t="s">
        <v>77</v>
      </c>
      <c r="B112" s="71" t="s">
        <v>134</v>
      </c>
      <c r="C112" s="72">
        <f>Avaliacao_Humana!N21</f>
        <v>2</v>
      </c>
      <c r="D112" s="72">
        <f>ChatGPT_ZeroShot!N21</f>
        <v>1</v>
      </c>
      <c r="E112" s="72">
        <f>ChatGPT_FewShot!N21</f>
        <v>0</v>
      </c>
      <c r="F112" s="72">
        <f>ChatGPT_CoT!N21</f>
        <v>0</v>
      </c>
      <c r="G112" s="72">
        <f>Gemini_ZeroShot!N21</f>
        <v>1</v>
      </c>
      <c r="H112" s="72">
        <f>Gemini_FewShot!N21</f>
        <v>0</v>
      </c>
      <c r="I112" s="72">
        <f>Gemini_CoT!N21</f>
        <v>0</v>
      </c>
      <c r="J112" s="72">
        <f>Claude_ZeroShot!N21</f>
        <v>2</v>
      </c>
      <c r="K112" s="72">
        <f>Claude_FewShot!N21</f>
        <v>1</v>
      </c>
      <c r="L112" s="72">
        <f>Claude_CoT!N21</f>
        <v>2</v>
      </c>
      <c r="M112" s="72">
        <f t="shared" si="1"/>
        <v>1</v>
      </c>
      <c r="N112" s="72">
        <f t="shared" si="2"/>
        <v>2</v>
      </c>
      <c r="O112" s="72">
        <f t="shared" si="3"/>
        <v>2</v>
      </c>
      <c r="P112" s="72">
        <f t="shared" si="4"/>
        <v>1</v>
      </c>
      <c r="Q112" s="72">
        <f t="shared" si="5"/>
        <v>2</v>
      </c>
      <c r="R112" s="72">
        <f t="shared" si="6"/>
        <v>2</v>
      </c>
      <c r="S112" s="72">
        <f t="shared" si="7"/>
        <v>0</v>
      </c>
      <c r="T112" s="72">
        <f t="shared" si="8"/>
        <v>1</v>
      </c>
      <c r="U112" s="72">
        <f t="shared" si="9"/>
        <v>0</v>
      </c>
    </row>
    <row r="113" ht="15.0" customHeight="1">
      <c r="A113" s="29" t="s">
        <v>77</v>
      </c>
      <c r="B113" s="73" t="s">
        <v>135</v>
      </c>
      <c r="C113" s="70">
        <f>Avaliacao_Humana!T21</f>
        <v>1</v>
      </c>
      <c r="D113" s="70">
        <f>ChatGPT_ZeroShot!T21</f>
        <v>2</v>
      </c>
      <c r="E113" s="70">
        <f>ChatGPT_FewShot!T21</f>
        <v>1</v>
      </c>
      <c r="F113" s="70">
        <f>ChatGPT_CoT!T21</f>
        <v>1</v>
      </c>
      <c r="G113" s="70">
        <f>Gemini_ZeroShot!T21</f>
        <v>0</v>
      </c>
      <c r="H113" s="70">
        <f>Gemini_FewShot!T21</f>
        <v>1</v>
      </c>
      <c r="I113" s="70">
        <f>Gemini_CoT!T21</f>
        <v>1</v>
      </c>
      <c r="J113" s="70">
        <f>Claude_ZeroShot!T21</f>
        <v>2</v>
      </c>
      <c r="K113" s="70">
        <f>Claude_FewShot!T21</f>
        <v>1</v>
      </c>
      <c r="L113" s="70">
        <f>Claude_CoT!T21</f>
        <v>1</v>
      </c>
      <c r="M113" s="70">
        <f t="shared" si="1"/>
        <v>1</v>
      </c>
      <c r="N113" s="70">
        <f t="shared" si="2"/>
        <v>0</v>
      </c>
      <c r="O113" s="70">
        <f t="shared" si="3"/>
        <v>0</v>
      </c>
      <c r="P113" s="70">
        <f t="shared" si="4"/>
        <v>1</v>
      </c>
      <c r="Q113" s="70">
        <f t="shared" si="5"/>
        <v>0</v>
      </c>
      <c r="R113" s="70">
        <f t="shared" si="6"/>
        <v>0</v>
      </c>
      <c r="S113" s="70">
        <f t="shared" si="7"/>
        <v>1</v>
      </c>
      <c r="T113" s="70">
        <f t="shared" si="8"/>
        <v>0</v>
      </c>
      <c r="U113" s="70">
        <f t="shared" si="9"/>
        <v>0</v>
      </c>
    </row>
    <row r="114" ht="15.0" customHeight="1">
      <c r="A114" s="12" t="s">
        <v>77</v>
      </c>
      <c r="B114" s="74" t="s">
        <v>136</v>
      </c>
      <c r="C114" s="72">
        <f>Avaliacao_Humana!Z21</f>
        <v>2</v>
      </c>
      <c r="D114" s="72">
        <f>ChatGPT_ZeroShot!Z21</f>
        <v>0</v>
      </c>
      <c r="E114" s="72">
        <f>ChatGPT_FewShot!Z21</f>
        <v>1</v>
      </c>
      <c r="F114" s="72">
        <f>ChatGPT_CoT!Z21</f>
        <v>2</v>
      </c>
      <c r="G114" s="72">
        <f>Gemini_ZeroShot!Z21</f>
        <v>0</v>
      </c>
      <c r="H114" s="72">
        <f>Gemini_FewShot!Z21</f>
        <v>2</v>
      </c>
      <c r="I114" s="72">
        <f>Gemini_CoT!Z21</f>
        <v>1</v>
      </c>
      <c r="J114" s="72">
        <f>Claude_ZeroShot!Z21</f>
        <v>0</v>
      </c>
      <c r="K114" s="72">
        <f>Claude_FewShot!Z21</f>
        <v>0</v>
      </c>
      <c r="L114" s="72">
        <f>Claude_CoT!Z21</f>
        <v>0</v>
      </c>
      <c r="M114" s="72">
        <f t="shared" si="1"/>
        <v>2</v>
      </c>
      <c r="N114" s="72">
        <f t="shared" si="2"/>
        <v>1</v>
      </c>
      <c r="O114" s="72">
        <f t="shared" si="3"/>
        <v>0</v>
      </c>
      <c r="P114" s="72">
        <f t="shared" si="4"/>
        <v>2</v>
      </c>
      <c r="Q114" s="72">
        <f t="shared" si="5"/>
        <v>0</v>
      </c>
      <c r="R114" s="72">
        <f t="shared" si="6"/>
        <v>1</v>
      </c>
      <c r="S114" s="72">
        <f t="shared" si="7"/>
        <v>2</v>
      </c>
      <c r="T114" s="72">
        <f t="shared" si="8"/>
        <v>2</v>
      </c>
      <c r="U114" s="72">
        <f t="shared" si="9"/>
        <v>2</v>
      </c>
    </row>
    <row r="115" ht="15.0" customHeight="1">
      <c r="A115" s="29" t="s">
        <v>77</v>
      </c>
      <c r="B115" s="75" t="s">
        <v>137</v>
      </c>
      <c r="C115" s="70">
        <f>Avaliacao_Humana!AF21</f>
        <v>0</v>
      </c>
      <c r="D115" s="70">
        <f>ChatGPT_ZeroShot!AF21</f>
        <v>0</v>
      </c>
      <c r="E115" s="70">
        <f>ChatGPT_FewShot!AF21</f>
        <v>0</v>
      </c>
      <c r="F115" s="70">
        <f>ChatGPT_CoT!AF21</f>
        <v>0</v>
      </c>
      <c r="G115" s="70">
        <f>Gemini_ZeroShot!AF21</f>
        <v>0</v>
      </c>
      <c r="H115" s="70">
        <f>Gemini_FewShot!AF21</f>
        <v>0</v>
      </c>
      <c r="I115" s="70">
        <f>Gemini_CoT!AF21</f>
        <v>0</v>
      </c>
      <c r="J115" s="70">
        <f>Claude_ZeroShot!AF21</f>
        <v>1</v>
      </c>
      <c r="K115" s="70">
        <f>Claude_FewShot!AF21</f>
        <v>0</v>
      </c>
      <c r="L115" s="70">
        <f>Claude_CoT!AF21</f>
        <v>0</v>
      </c>
      <c r="M115" s="70">
        <f t="shared" si="1"/>
        <v>0</v>
      </c>
      <c r="N115" s="70">
        <f t="shared" si="2"/>
        <v>0</v>
      </c>
      <c r="O115" s="70">
        <f t="shared" si="3"/>
        <v>0</v>
      </c>
      <c r="P115" s="70">
        <f t="shared" si="4"/>
        <v>0</v>
      </c>
      <c r="Q115" s="70">
        <f t="shared" si="5"/>
        <v>0</v>
      </c>
      <c r="R115" s="70">
        <f t="shared" si="6"/>
        <v>0</v>
      </c>
      <c r="S115" s="70">
        <f t="shared" si="7"/>
        <v>1</v>
      </c>
      <c r="T115" s="70">
        <f t="shared" si="8"/>
        <v>0</v>
      </c>
      <c r="U115" s="70">
        <f t="shared" si="9"/>
        <v>0</v>
      </c>
    </row>
    <row r="116" ht="15.0" customHeight="1">
      <c r="A116" s="12" t="s">
        <v>77</v>
      </c>
      <c r="B116" s="76" t="s">
        <v>138</v>
      </c>
      <c r="C116" s="72">
        <f>Avaliacao_Humana!AL21</f>
        <v>2</v>
      </c>
      <c r="D116" s="72">
        <f>ChatGPT_ZeroShot!AL21</f>
        <v>4</v>
      </c>
      <c r="E116" s="72">
        <f>ChatGPT_FewShot!AL21</f>
        <v>1</v>
      </c>
      <c r="F116" s="72">
        <f>ChatGPT_CoT!AL21</f>
        <v>4</v>
      </c>
      <c r="G116" s="72">
        <f>Gemini_ZeroShot!AL21</f>
        <v>0</v>
      </c>
      <c r="H116" s="72">
        <f>Gemini_FewShot!AL21</f>
        <v>5</v>
      </c>
      <c r="I116" s="72">
        <f>Gemini_CoT!AL21</f>
        <v>0</v>
      </c>
      <c r="J116" s="72">
        <f>Claude_ZeroShot!AL21</f>
        <v>2</v>
      </c>
      <c r="K116" s="72">
        <f>Claude_FewShot!AL21</f>
        <v>0</v>
      </c>
      <c r="L116" s="72">
        <f>Claude_CoT!AL21</f>
        <v>0</v>
      </c>
      <c r="M116" s="72">
        <f t="shared" si="1"/>
        <v>2</v>
      </c>
      <c r="N116" s="72">
        <f t="shared" si="2"/>
        <v>1</v>
      </c>
      <c r="O116" s="72">
        <f t="shared" si="3"/>
        <v>2</v>
      </c>
      <c r="P116" s="72">
        <f t="shared" si="4"/>
        <v>2</v>
      </c>
      <c r="Q116" s="72">
        <f t="shared" si="5"/>
        <v>3</v>
      </c>
      <c r="R116" s="72">
        <f t="shared" si="6"/>
        <v>2</v>
      </c>
      <c r="S116" s="72">
        <f t="shared" si="7"/>
        <v>0</v>
      </c>
      <c r="T116" s="72">
        <f t="shared" si="8"/>
        <v>2</v>
      </c>
      <c r="U116" s="72">
        <f t="shared" si="9"/>
        <v>2</v>
      </c>
    </row>
    <row r="117" ht="15.0" customHeight="1">
      <c r="A117" s="29" t="s">
        <v>79</v>
      </c>
      <c r="B117" s="69" t="s">
        <v>133</v>
      </c>
      <c r="C117" s="70">
        <f>Avaliacao_Humana!H22</f>
        <v>0</v>
      </c>
      <c r="D117" s="70">
        <f>ChatGPT_ZeroShot!H22</f>
        <v>0</v>
      </c>
      <c r="E117" s="70">
        <f>ChatGPT_FewShot!H22</f>
        <v>0</v>
      </c>
      <c r="F117" s="70">
        <f>ChatGPT_CoT!H22</f>
        <v>0</v>
      </c>
      <c r="G117" s="70">
        <f>Gemini_ZeroShot!H22</f>
        <v>0</v>
      </c>
      <c r="H117" s="70">
        <f>Gemini_FewShot!H22</f>
        <v>0</v>
      </c>
      <c r="I117" s="70">
        <f>Gemini_CoT!H22</f>
        <v>0</v>
      </c>
      <c r="J117" s="70">
        <f>Claude_ZeroShot!H22</f>
        <v>0</v>
      </c>
      <c r="K117" s="70">
        <f>Claude_FewShot!H22</f>
        <v>0</v>
      </c>
      <c r="L117" s="70">
        <f>Claude_CoT!H22</f>
        <v>0</v>
      </c>
      <c r="M117" s="70">
        <f t="shared" si="1"/>
        <v>0</v>
      </c>
      <c r="N117" s="70">
        <f t="shared" si="2"/>
        <v>0</v>
      </c>
      <c r="O117" s="70">
        <f t="shared" si="3"/>
        <v>0</v>
      </c>
      <c r="P117" s="70">
        <f t="shared" si="4"/>
        <v>0</v>
      </c>
      <c r="Q117" s="70">
        <f t="shared" si="5"/>
        <v>0</v>
      </c>
      <c r="R117" s="70">
        <f t="shared" si="6"/>
        <v>0</v>
      </c>
      <c r="S117" s="70">
        <f t="shared" si="7"/>
        <v>0</v>
      </c>
      <c r="T117" s="70">
        <f t="shared" si="8"/>
        <v>0</v>
      </c>
      <c r="U117" s="70">
        <f t="shared" si="9"/>
        <v>0</v>
      </c>
    </row>
    <row r="118" ht="15.0" customHeight="1">
      <c r="A118" s="12" t="s">
        <v>79</v>
      </c>
      <c r="B118" s="71" t="s">
        <v>134</v>
      </c>
      <c r="C118" s="72">
        <f>Avaliacao_Humana!N22</f>
        <v>2</v>
      </c>
      <c r="D118" s="72">
        <f>ChatGPT_ZeroShot!N22</f>
        <v>1</v>
      </c>
      <c r="E118" s="72">
        <f>ChatGPT_FewShot!N22</f>
        <v>1</v>
      </c>
      <c r="F118" s="72">
        <f>ChatGPT_CoT!N22</f>
        <v>1</v>
      </c>
      <c r="G118" s="72">
        <f>Gemini_ZeroShot!N22</f>
        <v>1</v>
      </c>
      <c r="H118" s="72">
        <f>Gemini_FewShot!N22</f>
        <v>0</v>
      </c>
      <c r="I118" s="72">
        <f>Gemini_CoT!N22</f>
        <v>1</v>
      </c>
      <c r="J118" s="72">
        <f>Claude_ZeroShot!N22</f>
        <v>0</v>
      </c>
      <c r="K118" s="72">
        <f>Claude_FewShot!N22</f>
        <v>1</v>
      </c>
      <c r="L118" s="72">
        <f>Claude_CoT!N22</f>
        <v>1</v>
      </c>
      <c r="M118" s="72">
        <f t="shared" si="1"/>
        <v>1</v>
      </c>
      <c r="N118" s="72">
        <f t="shared" si="2"/>
        <v>1</v>
      </c>
      <c r="O118" s="72">
        <f t="shared" si="3"/>
        <v>1</v>
      </c>
      <c r="P118" s="72">
        <f t="shared" si="4"/>
        <v>1</v>
      </c>
      <c r="Q118" s="72">
        <f t="shared" si="5"/>
        <v>2</v>
      </c>
      <c r="R118" s="72">
        <f t="shared" si="6"/>
        <v>1</v>
      </c>
      <c r="S118" s="72">
        <f t="shared" si="7"/>
        <v>2</v>
      </c>
      <c r="T118" s="72">
        <f t="shared" si="8"/>
        <v>1</v>
      </c>
      <c r="U118" s="72">
        <f t="shared" si="9"/>
        <v>1</v>
      </c>
    </row>
    <row r="119" ht="15.0" customHeight="1">
      <c r="A119" s="29" t="s">
        <v>79</v>
      </c>
      <c r="B119" s="73" t="s">
        <v>135</v>
      </c>
      <c r="C119" s="70">
        <f>Avaliacao_Humana!T22</f>
        <v>1</v>
      </c>
      <c r="D119" s="70">
        <f>ChatGPT_ZeroShot!T22</f>
        <v>1</v>
      </c>
      <c r="E119" s="70">
        <f>ChatGPT_FewShot!T22</f>
        <v>0</v>
      </c>
      <c r="F119" s="70">
        <f>ChatGPT_CoT!T22</f>
        <v>1</v>
      </c>
      <c r="G119" s="70">
        <f>Gemini_ZeroShot!T22</f>
        <v>0</v>
      </c>
      <c r="H119" s="70">
        <f>Gemini_FewShot!T22</f>
        <v>1</v>
      </c>
      <c r="I119" s="70">
        <f>Gemini_CoT!T22</f>
        <v>0</v>
      </c>
      <c r="J119" s="70">
        <f>Claude_ZeroShot!T22</f>
        <v>1</v>
      </c>
      <c r="K119" s="70">
        <f>Claude_FewShot!T22</f>
        <v>1</v>
      </c>
      <c r="L119" s="70">
        <f>Claude_CoT!T22</f>
        <v>0</v>
      </c>
      <c r="M119" s="70">
        <f t="shared" si="1"/>
        <v>0</v>
      </c>
      <c r="N119" s="70">
        <f t="shared" si="2"/>
        <v>1</v>
      </c>
      <c r="O119" s="70">
        <f t="shared" si="3"/>
        <v>0</v>
      </c>
      <c r="P119" s="70">
        <f t="shared" si="4"/>
        <v>1</v>
      </c>
      <c r="Q119" s="70">
        <f t="shared" si="5"/>
        <v>0</v>
      </c>
      <c r="R119" s="70">
        <f t="shared" si="6"/>
        <v>1</v>
      </c>
      <c r="S119" s="70">
        <f t="shared" si="7"/>
        <v>0</v>
      </c>
      <c r="T119" s="70">
        <f t="shared" si="8"/>
        <v>0</v>
      </c>
      <c r="U119" s="70">
        <f t="shared" si="9"/>
        <v>1</v>
      </c>
    </row>
    <row r="120" ht="15.0" customHeight="1">
      <c r="A120" s="12" t="s">
        <v>79</v>
      </c>
      <c r="B120" s="74" t="s">
        <v>136</v>
      </c>
      <c r="C120" s="72">
        <f>Avaliacao_Humana!Z22</f>
        <v>0</v>
      </c>
      <c r="D120" s="72">
        <f>ChatGPT_ZeroShot!Z22</f>
        <v>0</v>
      </c>
      <c r="E120" s="72">
        <f>ChatGPT_FewShot!Z22</f>
        <v>0</v>
      </c>
      <c r="F120" s="72">
        <f>ChatGPT_CoT!Z22</f>
        <v>0</v>
      </c>
      <c r="G120" s="72">
        <f>Gemini_ZeroShot!Z22</f>
        <v>0</v>
      </c>
      <c r="H120" s="72">
        <f>Gemini_FewShot!Z22</f>
        <v>0</v>
      </c>
      <c r="I120" s="72">
        <f>Gemini_CoT!Z22</f>
        <v>0</v>
      </c>
      <c r="J120" s="72">
        <f>Claude_ZeroShot!Z22</f>
        <v>0</v>
      </c>
      <c r="K120" s="72">
        <f>Claude_FewShot!Z22</f>
        <v>0</v>
      </c>
      <c r="L120" s="72">
        <f>Claude_CoT!Z22</f>
        <v>0</v>
      </c>
      <c r="M120" s="72">
        <f t="shared" si="1"/>
        <v>0</v>
      </c>
      <c r="N120" s="72">
        <f t="shared" si="2"/>
        <v>0</v>
      </c>
      <c r="O120" s="72">
        <f t="shared" si="3"/>
        <v>0</v>
      </c>
      <c r="P120" s="72">
        <f t="shared" si="4"/>
        <v>0</v>
      </c>
      <c r="Q120" s="72">
        <f t="shared" si="5"/>
        <v>0</v>
      </c>
      <c r="R120" s="72">
        <f t="shared" si="6"/>
        <v>0</v>
      </c>
      <c r="S120" s="72">
        <f t="shared" si="7"/>
        <v>0</v>
      </c>
      <c r="T120" s="72">
        <f t="shared" si="8"/>
        <v>0</v>
      </c>
      <c r="U120" s="72">
        <f t="shared" si="9"/>
        <v>0</v>
      </c>
    </row>
    <row r="121" ht="15.0" customHeight="1">
      <c r="A121" s="29" t="s">
        <v>79</v>
      </c>
      <c r="B121" s="75" t="s">
        <v>137</v>
      </c>
      <c r="C121" s="70">
        <f>Avaliacao_Humana!AF22</f>
        <v>0</v>
      </c>
      <c r="D121" s="70">
        <f>ChatGPT_ZeroShot!AF22</f>
        <v>0</v>
      </c>
      <c r="E121" s="70">
        <f>ChatGPT_FewShot!AF22</f>
        <v>0</v>
      </c>
      <c r="F121" s="70">
        <f>ChatGPT_CoT!AF22</f>
        <v>0</v>
      </c>
      <c r="G121" s="70">
        <f>Gemini_ZeroShot!AF22</f>
        <v>0</v>
      </c>
      <c r="H121" s="70">
        <f>Gemini_FewShot!AF22</f>
        <v>0</v>
      </c>
      <c r="I121" s="70">
        <f>Gemini_CoT!AF22</f>
        <v>0</v>
      </c>
      <c r="J121" s="70">
        <f>Claude_ZeroShot!AF22</f>
        <v>0</v>
      </c>
      <c r="K121" s="70">
        <f>Claude_FewShot!AF22</f>
        <v>0</v>
      </c>
      <c r="L121" s="70">
        <f>Claude_CoT!AF22</f>
        <v>0</v>
      </c>
      <c r="M121" s="70">
        <f t="shared" si="1"/>
        <v>0</v>
      </c>
      <c r="N121" s="70">
        <f t="shared" si="2"/>
        <v>0</v>
      </c>
      <c r="O121" s="70">
        <f t="shared" si="3"/>
        <v>0</v>
      </c>
      <c r="P121" s="70">
        <f t="shared" si="4"/>
        <v>0</v>
      </c>
      <c r="Q121" s="70">
        <f t="shared" si="5"/>
        <v>0</v>
      </c>
      <c r="R121" s="70">
        <f t="shared" si="6"/>
        <v>0</v>
      </c>
      <c r="S121" s="70">
        <f t="shared" si="7"/>
        <v>0</v>
      </c>
      <c r="T121" s="70">
        <f t="shared" si="8"/>
        <v>0</v>
      </c>
      <c r="U121" s="70">
        <f t="shared" si="9"/>
        <v>0</v>
      </c>
    </row>
    <row r="122" ht="15.0" customHeight="1">
      <c r="A122" s="12" t="s">
        <v>79</v>
      </c>
      <c r="B122" s="76" t="s">
        <v>138</v>
      </c>
      <c r="C122" s="72">
        <f>Avaliacao_Humana!AL22</f>
        <v>1</v>
      </c>
      <c r="D122" s="72">
        <f>ChatGPT_ZeroShot!AL22</f>
        <v>4</v>
      </c>
      <c r="E122" s="72">
        <f>ChatGPT_FewShot!AL22</f>
        <v>1</v>
      </c>
      <c r="F122" s="72">
        <f>ChatGPT_CoT!AL22</f>
        <v>4</v>
      </c>
      <c r="G122" s="72">
        <f>Gemini_ZeroShot!AL22</f>
        <v>0</v>
      </c>
      <c r="H122" s="72">
        <f>Gemini_FewShot!AL22</f>
        <v>4</v>
      </c>
      <c r="I122" s="72">
        <f>Gemini_CoT!AL22</f>
        <v>0</v>
      </c>
      <c r="J122" s="72">
        <f>Claude_ZeroShot!AL22</f>
        <v>1</v>
      </c>
      <c r="K122" s="72">
        <f>Claude_FewShot!AL22</f>
        <v>0</v>
      </c>
      <c r="L122" s="72">
        <f>Claude_CoT!AL22</f>
        <v>0</v>
      </c>
      <c r="M122" s="72">
        <f t="shared" si="1"/>
        <v>3</v>
      </c>
      <c r="N122" s="72">
        <f t="shared" si="2"/>
        <v>0</v>
      </c>
      <c r="O122" s="72">
        <f t="shared" si="3"/>
        <v>3</v>
      </c>
      <c r="P122" s="72">
        <f t="shared" si="4"/>
        <v>1</v>
      </c>
      <c r="Q122" s="72">
        <f t="shared" si="5"/>
        <v>3</v>
      </c>
      <c r="R122" s="72">
        <f t="shared" si="6"/>
        <v>1</v>
      </c>
      <c r="S122" s="72">
        <f t="shared" si="7"/>
        <v>0</v>
      </c>
      <c r="T122" s="72">
        <f t="shared" si="8"/>
        <v>1</v>
      </c>
      <c r="U122" s="72">
        <f t="shared" si="9"/>
        <v>1</v>
      </c>
    </row>
    <row r="123" ht="15.0" customHeight="1">
      <c r="A123" s="29" t="s">
        <v>81</v>
      </c>
      <c r="B123" s="69" t="s">
        <v>133</v>
      </c>
      <c r="C123" s="70">
        <f>Avaliacao_Humana!H23</f>
        <v>0</v>
      </c>
      <c r="D123" s="70">
        <f>ChatGPT_ZeroShot!H23</f>
        <v>0</v>
      </c>
      <c r="E123" s="70">
        <f>ChatGPT_FewShot!H23</f>
        <v>0</v>
      </c>
      <c r="F123" s="70">
        <f>ChatGPT_CoT!H23</f>
        <v>0</v>
      </c>
      <c r="G123" s="70">
        <f>Gemini_ZeroShot!H23</f>
        <v>0</v>
      </c>
      <c r="H123" s="70">
        <f>Gemini_FewShot!H23</f>
        <v>0</v>
      </c>
      <c r="I123" s="70">
        <f>Gemini_CoT!H23</f>
        <v>0</v>
      </c>
      <c r="J123" s="70">
        <f>Claude_ZeroShot!H23</f>
        <v>0</v>
      </c>
      <c r="K123" s="70">
        <f>Claude_FewShot!H23</f>
        <v>0</v>
      </c>
      <c r="L123" s="70">
        <f>Claude_CoT!H23</f>
        <v>0</v>
      </c>
      <c r="M123" s="70">
        <f t="shared" si="1"/>
        <v>0</v>
      </c>
      <c r="N123" s="70">
        <f t="shared" si="2"/>
        <v>0</v>
      </c>
      <c r="O123" s="70">
        <f t="shared" si="3"/>
        <v>0</v>
      </c>
      <c r="P123" s="70">
        <f t="shared" si="4"/>
        <v>0</v>
      </c>
      <c r="Q123" s="70">
        <f t="shared" si="5"/>
        <v>0</v>
      </c>
      <c r="R123" s="70">
        <f t="shared" si="6"/>
        <v>0</v>
      </c>
      <c r="S123" s="70">
        <f t="shared" si="7"/>
        <v>0</v>
      </c>
      <c r="T123" s="70">
        <f t="shared" si="8"/>
        <v>0</v>
      </c>
      <c r="U123" s="70">
        <f t="shared" si="9"/>
        <v>0</v>
      </c>
    </row>
    <row r="124" ht="15.0" customHeight="1">
      <c r="A124" s="12" t="s">
        <v>81</v>
      </c>
      <c r="B124" s="71" t="s">
        <v>134</v>
      </c>
      <c r="C124" s="72">
        <f>Avaliacao_Humana!N23</f>
        <v>0</v>
      </c>
      <c r="D124" s="72">
        <f>ChatGPT_ZeroShot!N23</f>
        <v>0</v>
      </c>
      <c r="E124" s="72">
        <f>ChatGPT_FewShot!N23</f>
        <v>0</v>
      </c>
      <c r="F124" s="72">
        <f>ChatGPT_CoT!N23</f>
        <v>0</v>
      </c>
      <c r="G124" s="72">
        <f>Gemini_ZeroShot!N23</f>
        <v>0</v>
      </c>
      <c r="H124" s="72">
        <f>Gemini_FewShot!N23</f>
        <v>0</v>
      </c>
      <c r="I124" s="72">
        <f>Gemini_CoT!N23</f>
        <v>0</v>
      </c>
      <c r="J124" s="72">
        <f>Claude_ZeroShot!N23</f>
        <v>0</v>
      </c>
      <c r="K124" s="72">
        <f>Claude_FewShot!N23</f>
        <v>0</v>
      </c>
      <c r="L124" s="72">
        <f>Claude_CoT!N23</f>
        <v>0</v>
      </c>
      <c r="M124" s="72">
        <f t="shared" si="1"/>
        <v>0</v>
      </c>
      <c r="N124" s="72">
        <f t="shared" si="2"/>
        <v>0</v>
      </c>
      <c r="O124" s="72">
        <f t="shared" si="3"/>
        <v>0</v>
      </c>
      <c r="P124" s="72">
        <f t="shared" si="4"/>
        <v>0</v>
      </c>
      <c r="Q124" s="72">
        <f t="shared" si="5"/>
        <v>0</v>
      </c>
      <c r="R124" s="72">
        <f t="shared" si="6"/>
        <v>0</v>
      </c>
      <c r="S124" s="72">
        <f t="shared" si="7"/>
        <v>0</v>
      </c>
      <c r="T124" s="72">
        <f t="shared" si="8"/>
        <v>0</v>
      </c>
      <c r="U124" s="72">
        <f t="shared" si="9"/>
        <v>0</v>
      </c>
    </row>
    <row r="125" ht="15.0" customHeight="1">
      <c r="A125" s="29" t="s">
        <v>81</v>
      </c>
      <c r="B125" s="73" t="s">
        <v>135</v>
      </c>
      <c r="C125" s="70">
        <f>Avaliacao_Humana!T23</f>
        <v>0</v>
      </c>
      <c r="D125" s="70">
        <f>ChatGPT_ZeroShot!T23</f>
        <v>0</v>
      </c>
      <c r="E125" s="70">
        <f>ChatGPT_FewShot!T23</f>
        <v>0</v>
      </c>
      <c r="F125" s="70">
        <f>ChatGPT_CoT!T23</f>
        <v>0</v>
      </c>
      <c r="G125" s="70">
        <f>Gemini_ZeroShot!T23</f>
        <v>0</v>
      </c>
      <c r="H125" s="70">
        <f>Gemini_FewShot!T23</f>
        <v>0</v>
      </c>
      <c r="I125" s="70">
        <f>Gemini_CoT!T23</f>
        <v>0</v>
      </c>
      <c r="J125" s="70">
        <f>Claude_ZeroShot!T23</f>
        <v>0</v>
      </c>
      <c r="K125" s="70">
        <f>Claude_FewShot!T23</f>
        <v>0</v>
      </c>
      <c r="L125" s="70">
        <f>Claude_CoT!T23</f>
        <v>0</v>
      </c>
      <c r="M125" s="70">
        <f t="shared" si="1"/>
        <v>0</v>
      </c>
      <c r="N125" s="70">
        <f t="shared" si="2"/>
        <v>0</v>
      </c>
      <c r="O125" s="70">
        <f t="shared" si="3"/>
        <v>0</v>
      </c>
      <c r="P125" s="70">
        <f t="shared" si="4"/>
        <v>0</v>
      </c>
      <c r="Q125" s="70">
        <f t="shared" si="5"/>
        <v>0</v>
      </c>
      <c r="R125" s="70">
        <f t="shared" si="6"/>
        <v>0</v>
      </c>
      <c r="S125" s="70">
        <f t="shared" si="7"/>
        <v>0</v>
      </c>
      <c r="T125" s="70">
        <f t="shared" si="8"/>
        <v>0</v>
      </c>
      <c r="U125" s="70">
        <f t="shared" si="9"/>
        <v>0</v>
      </c>
    </row>
    <row r="126" ht="15.0" customHeight="1">
      <c r="A126" s="12" t="s">
        <v>81</v>
      </c>
      <c r="B126" s="74" t="s">
        <v>136</v>
      </c>
      <c r="C126" s="72">
        <f>Avaliacao_Humana!Z23</f>
        <v>0</v>
      </c>
      <c r="D126" s="72">
        <f>ChatGPT_ZeroShot!Z23</f>
        <v>0</v>
      </c>
      <c r="E126" s="72">
        <f>ChatGPT_FewShot!Z23</f>
        <v>0</v>
      </c>
      <c r="F126" s="72">
        <f>ChatGPT_CoT!Z23</f>
        <v>0</v>
      </c>
      <c r="G126" s="72">
        <f>Gemini_ZeroShot!Z23</f>
        <v>0</v>
      </c>
      <c r="H126" s="72">
        <f>Gemini_FewShot!Z23</f>
        <v>0</v>
      </c>
      <c r="I126" s="72">
        <f>Gemini_CoT!Z23</f>
        <v>0</v>
      </c>
      <c r="J126" s="72">
        <f>Claude_ZeroShot!Z23</f>
        <v>0</v>
      </c>
      <c r="K126" s="72">
        <f>Claude_FewShot!Z23</f>
        <v>0</v>
      </c>
      <c r="L126" s="72">
        <f>Claude_CoT!Z23</f>
        <v>0</v>
      </c>
      <c r="M126" s="72">
        <f t="shared" si="1"/>
        <v>0</v>
      </c>
      <c r="N126" s="72">
        <f t="shared" si="2"/>
        <v>0</v>
      </c>
      <c r="O126" s="72">
        <f t="shared" si="3"/>
        <v>0</v>
      </c>
      <c r="P126" s="72">
        <f t="shared" si="4"/>
        <v>0</v>
      </c>
      <c r="Q126" s="72">
        <f t="shared" si="5"/>
        <v>0</v>
      </c>
      <c r="R126" s="72">
        <f t="shared" si="6"/>
        <v>0</v>
      </c>
      <c r="S126" s="72">
        <f t="shared" si="7"/>
        <v>0</v>
      </c>
      <c r="T126" s="72">
        <f t="shared" si="8"/>
        <v>0</v>
      </c>
      <c r="U126" s="72">
        <f t="shared" si="9"/>
        <v>0</v>
      </c>
    </row>
    <row r="127" ht="15.0" customHeight="1">
      <c r="A127" s="29" t="s">
        <v>81</v>
      </c>
      <c r="B127" s="75" t="s">
        <v>137</v>
      </c>
      <c r="C127" s="70">
        <f>Avaliacao_Humana!AF23</f>
        <v>0</v>
      </c>
      <c r="D127" s="70">
        <f>ChatGPT_ZeroShot!AF23</f>
        <v>1</v>
      </c>
      <c r="E127" s="70">
        <f>ChatGPT_FewShot!AF23</f>
        <v>0</v>
      </c>
      <c r="F127" s="70">
        <f>ChatGPT_CoT!AF23</f>
        <v>1</v>
      </c>
      <c r="G127" s="70">
        <f>Gemini_ZeroShot!AF23</f>
        <v>0</v>
      </c>
      <c r="H127" s="70">
        <f>Gemini_FewShot!AF23</f>
        <v>0</v>
      </c>
      <c r="I127" s="70">
        <f>Gemini_CoT!AF23</f>
        <v>0</v>
      </c>
      <c r="J127" s="70">
        <f>Claude_ZeroShot!AF23</f>
        <v>0</v>
      </c>
      <c r="K127" s="70">
        <f>Claude_FewShot!AF23</f>
        <v>0</v>
      </c>
      <c r="L127" s="70">
        <f>Claude_CoT!AF23</f>
        <v>0</v>
      </c>
      <c r="M127" s="70">
        <f t="shared" si="1"/>
        <v>1</v>
      </c>
      <c r="N127" s="70">
        <f t="shared" si="2"/>
        <v>0</v>
      </c>
      <c r="O127" s="70">
        <f t="shared" si="3"/>
        <v>1</v>
      </c>
      <c r="P127" s="70">
        <f t="shared" si="4"/>
        <v>0</v>
      </c>
      <c r="Q127" s="70">
        <f t="shared" si="5"/>
        <v>0</v>
      </c>
      <c r="R127" s="70">
        <f t="shared" si="6"/>
        <v>0</v>
      </c>
      <c r="S127" s="70">
        <f t="shared" si="7"/>
        <v>0</v>
      </c>
      <c r="T127" s="70">
        <f t="shared" si="8"/>
        <v>0</v>
      </c>
      <c r="U127" s="70">
        <f t="shared" si="9"/>
        <v>0</v>
      </c>
    </row>
    <row r="128" ht="15.0" customHeight="1">
      <c r="A128" s="12" t="s">
        <v>81</v>
      </c>
      <c r="B128" s="76" t="s">
        <v>138</v>
      </c>
      <c r="C128" s="72">
        <f>Avaliacao_Humana!AL23</f>
        <v>3</v>
      </c>
      <c r="D128" s="72">
        <f>ChatGPT_ZeroShot!AL23</f>
        <v>4</v>
      </c>
      <c r="E128" s="72">
        <f>ChatGPT_FewShot!AL23</f>
        <v>1</v>
      </c>
      <c r="F128" s="72">
        <f>ChatGPT_CoT!AL23</f>
        <v>4</v>
      </c>
      <c r="G128" s="72">
        <f>Gemini_ZeroShot!AL23</f>
        <v>0</v>
      </c>
      <c r="H128" s="72">
        <f>Gemini_FewShot!AL23</f>
        <v>4</v>
      </c>
      <c r="I128" s="72">
        <f>Gemini_CoT!AL23</f>
        <v>0</v>
      </c>
      <c r="J128" s="72">
        <f>Claude_ZeroShot!AL23</f>
        <v>4</v>
      </c>
      <c r="K128" s="72">
        <f>Claude_FewShot!AL23</f>
        <v>0</v>
      </c>
      <c r="L128" s="72">
        <f>Claude_CoT!AL23</f>
        <v>2</v>
      </c>
      <c r="M128" s="72">
        <f t="shared" si="1"/>
        <v>1</v>
      </c>
      <c r="N128" s="72">
        <f t="shared" si="2"/>
        <v>2</v>
      </c>
      <c r="O128" s="72">
        <f t="shared" si="3"/>
        <v>1</v>
      </c>
      <c r="P128" s="72">
        <f t="shared" si="4"/>
        <v>3</v>
      </c>
      <c r="Q128" s="72">
        <f t="shared" si="5"/>
        <v>1</v>
      </c>
      <c r="R128" s="72">
        <f t="shared" si="6"/>
        <v>3</v>
      </c>
      <c r="S128" s="72">
        <f t="shared" si="7"/>
        <v>1</v>
      </c>
      <c r="T128" s="72">
        <f t="shared" si="8"/>
        <v>3</v>
      </c>
      <c r="U128" s="72">
        <f t="shared" si="9"/>
        <v>1</v>
      </c>
    </row>
    <row r="129" ht="15.0" customHeight="1">
      <c r="A129" s="29" t="s">
        <v>83</v>
      </c>
      <c r="B129" s="69" t="s">
        <v>133</v>
      </c>
      <c r="C129" s="70">
        <f>Avaliacao_Humana!H24</f>
        <v>0</v>
      </c>
      <c r="D129" s="70">
        <f>ChatGPT_ZeroShot!H24</f>
        <v>0</v>
      </c>
      <c r="E129" s="70">
        <f>ChatGPT_FewShot!H24</f>
        <v>0</v>
      </c>
      <c r="F129" s="70">
        <f>ChatGPT_CoT!H24</f>
        <v>0</v>
      </c>
      <c r="G129" s="70">
        <f>Gemini_ZeroShot!H24</f>
        <v>0</v>
      </c>
      <c r="H129" s="70">
        <f>Gemini_FewShot!H24</f>
        <v>0</v>
      </c>
      <c r="I129" s="70">
        <f>Gemini_CoT!H24</f>
        <v>0</v>
      </c>
      <c r="J129" s="70">
        <f>Claude_ZeroShot!H24</f>
        <v>0</v>
      </c>
      <c r="K129" s="70">
        <f>Claude_FewShot!H24</f>
        <v>0</v>
      </c>
      <c r="L129" s="70">
        <f>Claude_CoT!H24</f>
        <v>0</v>
      </c>
      <c r="M129" s="70">
        <f t="shared" si="1"/>
        <v>0</v>
      </c>
      <c r="N129" s="70">
        <f t="shared" si="2"/>
        <v>0</v>
      </c>
      <c r="O129" s="70">
        <f t="shared" si="3"/>
        <v>0</v>
      </c>
      <c r="P129" s="70">
        <f t="shared" si="4"/>
        <v>0</v>
      </c>
      <c r="Q129" s="70">
        <f t="shared" si="5"/>
        <v>0</v>
      </c>
      <c r="R129" s="70">
        <f t="shared" si="6"/>
        <v>0</v>
      </c>
      <c r="S129" s="70">
        <f t="shared" si="7"/>
        <v>0</v>
      </c>
      <c r="T129" s="70">
        <f t="shared" si="8"/>
        <v>0</v>
      </c>
      <c r="U129" s="70">
        <f t="shared" si="9"/>
        <v>0</v>
      </c>
    </row>
    <row r="130" ht="15.0" customHeight="1">
      <c r="A130" s="12" t="s">
        <v>83</v>
      </c>
      <c r="B130" s="71" t="s">
        <v>134</v>
      </c>
      <c r="C130" s="72">
        <f>Avaliacao_Humana!N24</f>
        <v>0</v>
      </c>
      <c r="D130" s="72">
        <f>ChatGPT_ZeroShot!N24</f>
        <v>0</v>
      </c>
      <c r="E130" s="72">
        <f>ChatGPT_FewShot!N24</f>
        <v>0</v>
      </c>
      <c r="F130" s="72">
        <f>ChatGPT_CoT!N24</f>
        <v>0</v>
      </c>
      <c r="G130" s="72">
        <f>Gemini_ZeroShot!N24</f>
        <v>0</v>
      </c>
      <c r="H130" s="72">
        <f>Gemini_FewShot!N24</f>
        <v>0</v>
      </c>
      <c r="I130" s="72">
        <f>Gemini_CoT!N24</f>
        <v>0</v>
      </c>
      <c r="J130" s="72">
        <f>Claude_ZeroShot!N24</f>
        <v>0</v>
      </c>
      <c r="K130" s="72">
        <f>Claude_FewShot!N24</f>
        <v>0</v>
      </c>
      <c r="L130" s="72">
        <f>Claude_CoT!N24</f>
        <v>0</v>
      </c>
      <c r="M130" s="72">
        <f t="shared" si="1"/>
        <v>0</v>
      </c>
      <c r="N130" s="72">
        <f t="shared" si="2"/>
        <v>0</v>
      </c>
      <c r="O130" s="72">
        <f t="shared" si="3"/>
        <v>0</v>
      </c>
      <c r="P130" s="72">
        <f t="shared" si="4"/>
        <v>0</v>
      </c>
      <c r="Q130" s="72">
        <f t="shared" si="5"/>
        <v>0</v>
      </c>
      <c r="R130" s="72">
        <f t="shared" si="6"/>
        <v>0</v>
      </c>
      <c r="S130" s="72">
        <f t="shared" si="7"/>
        <v>0</v>
      </c>
      <c r="T130" s="72">
        <f t="shared" si="8"/>
        <v>0</v>
      </c>
      <c r="U130" s="72">
        <f t="shared" si="9"/>
        <v>0</v>
      </c>
    </row>
    <row r="131" ht="15.0" customHeight="1">
      <c r="A131" s="29" t="s">
        <v>83</v>
      </c>
      <c r="B131" s="73" t="s">
        <v>135</v>
      </c>
      <c r="C131" s="70">
        <f>Avaliacao_Humana!T24</f>
        <v>0</v>
      </c>
      <c r="D131" s="70">
        <f>ChatGPT_ZeroShot!T24</f>
        <v>0</v>
      </c>
      <c r="E131" s="70">
        <f>ChatGPT_FewShot!T24</f>
        <v>0</v>
      </c>
      <c r="F131" s="70">
        <f>ChatGPT_CoT!T24</f>
        <v>0</v>
      </c>
      <c r="G131" s="70">
        <f>Gemini_ZeroShot!T24</f>
        <v>0</v>
      </c>
      <c r="H131" s="70">
        <f>Gemini_FewShot!T24</f>
        <v>0</v>
      </c>
      <c r="I131" s="70">
        <f>Gemini_CoT!T24</f>
        <v>0</v>
      </c>
      <c r="J131" s="70">
        <f>Claude_ZeroShot!T24</f>
        <v>0</v>
      </c>
      <c r="K131" s="70">
        <f>Claude_FewShot!T24</f>
        <v>0</v>
      </c>
      <c r="L131" s="70">
        <f>Claude_CoT!T24</f>
        <v>0</v>
      </c>
      <c r="M131" s="70">
        <f t="shared" si="1"/>
        <v>0</v>
      </c>
      <c r="N131" s="70">
        <f t="shared" si="2"/>
        <v>0</v>
      </c>
      <c r="O131" s="70">
        <f t="shared" si="3"/>
        <v>0</v>
      </c>
      <c r="P131" s="70">
        <f t="shared" si="4"/>
        <v>0</v>
      </c>
      <c r="Q131" s="70">
        <f t="shared" si="5"/>
        <v>0</v>
      </c>
      <c r="R131" s="70">
        <f t="shared" si="6"/>
        <v>0</v>
      </c>
      <c r="S131" s="70">
        <f t="shared" si="7"/>
        <v>0</v>
      </c>
      <c r="T131" s="70">
        <f t="shared" si="8"/>
        <v>0</v>
      </c>
      <c r="U131" s="70">
        <f t="shared" si="9"/>
        <v>0</v>
      </c>
    </row>
    <row r="132" ht="15.0" customHeight="1">
      <c r="A132" s="12" t="s">
        <v>83</v>
      </c>
      <c r="B132" s="74" t="s">
        <v>136</v>
      </c>
      <c r="C132" s="72">
        <f>Avaliacao_Humana!Z24</f>
        <v>0</v>
      </c>
      <c r="D132" s="72">
        <f>ChatGPT_ZeroShot!Z24</f>
        <v>0</v>
      </c>
      <c r="E132" s="72">
        <f>ChatGPT_FewShot!Z24</f>
        <v>0</v>
      </c>
      <c r="F132" s="72">
        <f>ChatGPT_CoT!Z24</f>
        <v>0</v>
      </c>
      <c r="G132" s="72">
        <f>Gemini_ZeroShot!Z24</f>
        <v>0</v>
      </c>
      <c r="H132" s="72">
        <f>Gemini_FewShot!Z24</f>
        <v>0</v>
      </c>
      <c r="I132" s="72">
        <f>Gemini_CoT!Z24</f>
        <v>0</v>
      </c>
      <c r="J132" s="72">
        <f>Claude_ZeroShot!Z24</f>
        <v>0</v>
      </c>
      <c r="K132" s="72">
        <f>Claude_FewShot!Z24</f>
        <v>0</v>
      </c>
      <c r="L132" s="72">
        <f>Claude_CoT!Z24</f>
        <v>0</v>
      </c>
      <c r="M132" s="72">
        <f t="shared" si="1"/>
        <v>0</v>
      </c>
      <c r="N132" s="72">
        <f t="shared" si="2"/>
        <v>0</v>
      </c>
      <c r="O132" s="72">
        <f t="shared" si="3"/>
        <v>0</v>
      </c>
      <c r="P132" s="72">
        <f t="shared" si="4"/>
        <v>0</v>
      </c>
      <c r="Q132" s="72">
        <f t="shared" si="5"/>
        <v>0</v>
      </c>
      <c r="R132" s="72">
        <f t="shared" si="6"/>
        <v>0</v>
      </c>
      <c r="S132" s="72">
        <f t="shared" si="7"/>
        <v>0</v>
      </c>
      <c r="T132" s="72">
        <f t="shared" si="8"/>
        <v>0</v>
      </c>
      <c r="U132" s="72">
        <f t="shared" si="9"/>
        <v>0</v>
      </c>
    </row>
    <row r="133" ht="15.0" customHeight="1">
      <c r="A133" s="29" t="s">
        <v>83</v>
      </c>
      <c r="B133" s="75" t="s">
        <v>137</v>
      </c>
      <c r="C133" s="70">
        <f>Avaliacao_Humana!AF24</f>
        <v>0</v>
      </c>
      <c r="D133" s="70">
        <f>ChatGPT_ZeroShot!AF24</f>
        <v>0</v>
      </c>
      <c r="E133" s="70">
        <f>ChatGPT_FewShot!AF24</f>
        <v>0</v>
      </c>
      <c r="F133" s="70">
        <f>ChatGPT_CoT!AF24</f>
        <v>0</v>
      </c>
      <c r="G133" s="70">
        <f>Gemini_ZeroShot!AF24</f>
        <v>0</v>
      </c>
      <c r="H133" s="70">
        <f>Gemini_FewShot!AF24</f>
        <v>0</v>
      </c>
      <c r="I133" s="70">
        <f>Gemini_CoT!AF24</f>
        <v>0</v>
      </c>
      <c r="J133" s="70">
        <f>Claude_ZeroShot!AF24</f>
        <v>0</v>
      </c>
      <c r="K133" s="70">
        <f>Claude_FewShot!AF24</f>
        <v>0</v>
      </c>
      <c r="L133" s="70">
        <f>Claude_CoT!AF24</f>
        <v>0</v>
      </c>
      <c r="M133" s="70">
        <f t="shared" si="1"/>
        <v>0</v>
      </c>
      <c r="N133" s="70">
        <f t="shared" si="2"/>
        <v>0</v>
      </c>
      <c r="O133" s="70">
        <f t="shared" si="3"/>
        <v>0</v>
      </c>
      <c r="P133" s="70">
        <f t="shared" si="4"/>
        <v>0</v>
      </c>
      <c r="Q133" s="70">
        <f t="shared" si="5"/>
        <v>0</v>
      </c>
      <c r="R133" s="70">
        <f t="shared" si="6"/>
        <v>0</v>
      </c>
      <c r="S133" s="70">
        <f t="shared" si="7"/>
        <v>0</v>
      </c>
      <c r="T133" s="70">
        <f t="shared" si="8"/>
        <v>0</v>
      </c>
      <c r="U133" s="70">
        <f t="shared" si="9"/>
        <v>0</v>
      </c>
    </row>
    <row r="134" ht="15.0" customHeight="1">
      <c r="A134" s="12" t="s">
        <v>83</v>
      </c>
      <c r="B134" s="76" t="s">
        <v>138</v>
      </c>
      <c r="C134" s="72">
        <f>Avaliacao_Humana!AL24</f>
        <v>3</v>
      </c>
      <c r="D134" s="72">
        <f>ChatGPT_ZeroShot!AL24</f>
        <v>4</v>
      </c>
      <c r="E134" s="72">
        <f>ChatGPT_FewShot!AL24</f>
        <v>2</v>
      </c>
      <c r="F134" s="72">
        <f>ChatGPT_CoT!AL24</f>
        <v>4</v>
      </c>
      <c r="G134" s="72">
        <f>Gemini_ZeroShot!AL24</f>
        <v>0</v>
      </c>
      <c r="H134" s="72">
        <f>Gemini_FewShot!AL24</f>
        <v>4</v>
      </c>
      <c r="I134" s="72">
        <f>Gemini_CoT!AL24</f>
        <v>0</v>
      </c>
      <c r="J134" s="72">
        <f>Claude_ZeroShot!AL24</f>
        <v>4</v>
      </c>
      <c r="K134" s="72">
        <f>Claude_FewShot!AL24</f>
        <v>0</v>
      </c>
      <c r="L134" s="72">
        <f>Claude_CoT!AL24</f>
        <v>1</v>
      </c>
      <c r="M134" s="72">
        <f t="shared" si="1"/>
        <v>1</v>
      </c>
      <c r="N134" s="72">
        <f t="shared" si="2"/>
        <v>1</v>
      </c>
      <c r="O134" s="72">
        <f t="shared" si="3"/>
        <v>1</v>
      </c>
      <c r="P134" s="72">
        <f t="shared" si="4"/>
        <v>3</v>
      </c>
      <c r="Q134" s="72">
        <f t="shared" si="5"/>
        <v>1</v>
      </c>
      <c r="R134" s="72">
        <f t="shared" si="6"/>
        <v>3</v>
      </c>
      <c r="S134" s="72">
        <f t="shared" si="7"/>
        <v>1</v>
      </c>
      <c r="T134" s="72">
        <f t="shared" si="8"/>
        <v>3</v>
      </c>
      <c r="U134" s="72">
        <f t="shared" si="9"/>
        <v>2</v>
      </c>
    </row>
    <row r="135" ht="15.0" customHeight="1">
      <c r="A135" s="29" t="s">
        <v>85</v>
      </c>
      <c r="B135" s="69" t="s">
        <v>133</v>
      </c>
      <c r="C135" s="70">
        <f>Avaliacao_Humana!H25</f>
        <v>0</v>
      </c>
      <c r="D135" s="70">
        <f>ChatGPT_ZeroShot!H25</f>
        <v>0</v>
      </c>
      <c r="E135" s="70">
        <f>ChatGPT_FewShot!H25</f>
        <v>0</v>
      </c>
      <c r="F135" s="70">
        <f>ChatGPT_CoT!H25</f>
        <v>0</v>
      </c>
      <c r="G135" s="70">
        <f>Gemini_ZeroShot!H25</f>
        <v>0</v>
      </c>
      <c r="H135" s="70">
        <f>Gemini_FewShot!H25</f>
        <v>0</v>
      </c>
      <c r="I135" s="70">
        <f>Gemini_CoT!H25</f>
        <v>0</v>
      </c>
      <c r="J135" s="70">
        <f>Claude_ZeroShot!H25</f>
        <v>0</v>
      </c>
      <c r="K135" s="70">
        <f>Claude_FewShot!H25</f>
        <v>0</v>
      </c>
      <c r="L135" s="70">
        <f>Claude_CoT!H25</f>
        <v>0</v>
      </c>
      <c r="M135" s="70">
        <f t="shared" si="1"/>
        <v>0</v>
      </c>
      <c r="N135" s="70">
        <f t="shared" si="2"/>
        <v>0</v>
      </c>
      <c r="O135" s="70">
        <f t="shared" si="3"/>
        <v>0</v>
      </c>
      <c r="P135" s="70">
        <f t="shared" si="4"/>
        <v>0</v>
      </c>
      <c r="Q135" s="70">
        <f t="shared" si="5"/>
        <v>0</v>
      </c>
      <c r="R135" s="70">
        <f t="shared" si="6"/>
        <v>0</v>
      </c>
      <c r="S135" s="70">
        <f t="shared" si="7"/>
        <v>0</v>
      </c>
      <c r="T135" s="70">
        <f t="shared" si="8"/>
        <v>0</v>
      </c>
      <c r="U135" s="70">
        <f t="shared" si="9"/>
        <v>0</v>
      </c>
    </row>
    <row r="136" ht="15.0" customHeight="1">
      <c r="A136" s="12" t="s">
        <v>85</v>
      </c>
      <c r="B136" s="71" t="s">
        <v>134</v>
      </c>
      <c r="C136" s="72">
        <f>Avaliacao_Humana!N25</f>
        <v>0</v>
      </c>
      <c r="D136" s="72">
        <f>ChatGPT_ZeroShot!N25</f>
        <v>1</v>
      </c>
      <c r="E136" s="72">
        <f>ChatGPT_FewShot!N25</f>
        <v>0</v>
      </c>
      <c r="F136" s="72">
        <f>ChatGPT_CoT!N25</f>
        <v>1</v>
      </c>
      <c r="G136" s="72">
        <f>Gemini_ZeroShot!N25</f>
        <v>0</v>
      </c>
      <c r="H136" s="72">
        <f>Gemini_FewShot!N25</f>
        <v>0</v>
      </c>
      <c r="I136" s="72">
        <f>Gemini_CoT!N25</f>
        <v>0</v>
      </c>
      <c r="J136" s="72">
        <f>Claude_ZeroShot!N25</f>
        <v>0</v>
      </c>
      <c r="K136" s="72">
        <f>Claude_FewShot!N25</f>
        <v>1</v>
      </c>
      <c r="L136" s="72">
        <f>Claude_CoT!N25</f>
        <v>0</v>
      </c>
      <c r="M136" s="72">
        <f t="shared" si="1"/>
        <v>1</v>
      </c>
      <c r="N136" s="72">
        <f t="shared" si="2"/>
        <v>0</v>
      </c>
      <c r="O136" s="72">
        <f t="shared" si="3"/>
        <v>1</v>
      </c>
      <c r="P136" s="72">
        <f t="shared" si="4"/>
        <v>0</v>
      </c>
      <c r="Q136" s="72">
        <f t="shared" si="5"/>
        <v>0</v>
      </c>
      <c r="R136" s="72">
        <f t="shared" si="6"/>
        <v>0</v>
      </c>
      <c r="S136" s="72">
        <f t="shared" si="7"/>
        <v>0</v>
      </c>
      <c r="T136" s="72">
        <f t="shared" si="8"/>
        <v>1</v>
      </c>
      <c r="U136" s="72">
        <f t="shared" si="9"/>
        <v>0</v>
      </c>
    </row>
    <row r="137" ht="15.0" customHeight="1">
      <c r="A137" s="29" t="s">
        <v>85</v>
      </c>
      <c r="B137" s="73" t="s">
        <v>135</v>
      </c>
      <c r="C137" s="70">
        <f>Avaliacao_Humana!T25</f>
        <v>0</v>
      </c>
      <c r="D137" s="70">
        <f>ChatGPT_ZeroShot!T25</f>
        <v>0</v>
      </c>
      <c r="E137" s="70">
        <f>ChatGPT_FewShot!T25</f>
        <v>0</v>
      </c>
      <c r="F137" s="70">
        <f>ChatGPT_CoT!T25</f>
        <v>0</v>
      </c>
      <c r="G137" s="70">
        <f>Gemini_ZeroShot!T25</f>
        <v>0</v>
      </c>
      <c r="H137" s="70">
        <f>Gemini_FewShot!T25</f>
        <v>0</v>
      </c>
      <c r="I137" s="70">
        <f>Gemini_CoT!T25</f>
        <v>0</v>
      </c>
      <c r="J137" s="70">
        <f>Claude_ZeroShot!T25</f>
        <v>0</v>
      </c>
      <c r="K137" s="70">
        <f>Claude_FewShot!T25</f>
        <v>0</v>
      </c>
      <c r="L137" s="70">
        <f>Claude_CoT!T25</f>
        <v>0</v>
      </c>
      <c r="M137" s="70">
        <f t="shared" si="1"/>
        <v>0</v>
      </c>
      <c r="N137" s="70">
        <f t="shared" si="2"/>
        <v>0</v>
      </c>
      <c r="O137" s="70">
        <f t="shared" si="3"/>
        <v>0</v>
      </c>
      <c r="P137" s="70">
        <f t="shared" si="4"/>
        <v>0</v>
      </c>
      <c r="Q137" s="70">
        <f t="shared" si="5"/>
        <v>0</v>
      </c>
      <c r="R137" s="70">
        <f t="shared" si="6"/>
        <v>0</v>
      </c>
      <c r="S137" s="70">
        <f t="shared" si="7"/>
        <v>0</v>
      </c>
      <c r="T137" s="70">
        <f t="shared" si="8"/>
        <v>0</v>
      </c>
      <c r="U137" s="70">
        <f t="shared" si="9"/>
        <v>0</v>
      </c>
    </row>
    <row r="138" ht="15.0" customHeight="1">
      <c r="A138" s="12" t="s">
        <v>85</v>
      </c>
      <c r="B138" s="74" t="s">
        <v>136</v>
      </c>
      <c r="C138" s="72">
        <f>Avaliacao_Humana!Z25</f>
        <v>0</v>
      </c>
      <c r="D138" s="72">
        <f>ChatGPT_ZeroShot!Z25</f>
        <v>0</v>
      </c>
      <c r="E138" s="72">
        <f>ChatGPT_FewShot!Z25</f>
        <v>0</v>
      </c>
      <c r="F138" s="72">
        <f>ChatGPT_CoT!Z25</f>
        <v>0</v>
      </c>
      <c r="G138" s="72">
        <f>Gemini_ZeroShot!Z25</f>
        <v>0</v>
      </c>
      <c r="H138" s="72">
        <f>Gemini_FewShot!Z25</f>
        <v>0</v>
      </c>
      <c r="I138" s="72">
        <f>Gemini_CoT!Z25</f>
        <v>0</v>
      </c>
      <c r="J138" s="72">
        <f>Claude_ZeroShot!Z25</f>
        <v>0</v>
      </c>
      <c r="K138" s="72">
        <f>Claude_FewShot!Z25</f>
        <v>0</v>
      </c>
      <c r="L138" s="72">
        <f>Claude_CoT!Z25</f>
        <v>0</v>
      </c>
      <c r="M138" s="72">
        <f t="shared" si="1"/>
        <v>0</v>
      </c>
      <c r="N138" s="72">
        <f t="shared" si="2"/>
        <v>0</v>
      </c>
      <c r="O138" s="72">
        <f t="shared" si="3"/>
        <v>0</v>
      </c>
      <c r="P138" s="72">
        <f t="shared" si="4"/>
        <v>0</v>
      </c>
      <c r="Q138" s="72">
        <f t="shared" si="5"/>
        <v>0</v>
      </c>
      <c r="R138" s="72">
        <f t="shared" si="6"/>
        <v>0</v>
      </c>
      <c r="S138" s="72">
        <f t="shared" si="7"/>
        <v>0</v>
      </c>
      <c r="T138" s="72">
        <f t="shared" si="8"/>
        <v>0</v>
      </c>
      <c r="U138" s="72">
        <f t="shared" si="9"/>
        <v>0</v>
      </c>
    </row>
    <row r="139" ht="15.0" customHeight="1">
      <c r="A139" s="29" t="s">
        <v>85</v>
      </c>
      <c r="B139" s="75" t="s">
        <v>137</v>
      </c>
      <c r="C139" s="70">
        <f>Avaliacao_Humana!AF25</f>
        <v>0</v>
      </c>
      <c r="D139" s="70">
        <f>ChatGPT_ZeroShot!AF25</f>
        <v>0</v>
      </c>
      <c r="E139" s="70">
        <f>ChatGPT_FewShot!AF25</f>
        <v>0</v>
      </c>
      <c r="F139" s="70">
        <f>ChatGPT_CoT!AF25</f>
        <v>0</v>
      </c>
      <c r="G139" s="70">
        <f>Gemini_ZeroShot!AF25</f>
        <v>0</v>
      </c>
      <c r="H139" s="70">
        <f>Gemini_FewShot!AF25</f>
        <v>0</v>
      </c>
      <c r="I139" s="70">
        <f>Gemini_CoT!AF25</f>
        <v>0</v>
      </c>
      <c r="J139" s="70">
        <f>Claude_ZeroShot!AF25</f>
        <v>0</v>
      </c>
      <c r="K139" s="70">
        <f>Claude_FewShot!AF25</f>
        <v>0</v>
      </c>
      <c r="L139" s="70">
        <f>Claude_CoT!AF25</f>
        <v>0</v>
      </c>
      <c r="M139" s="70">
        <f t="shared" si="1"/>
        <v>0</v>
      </c>
      <c r="N139" s="70">
        <f t="shared" si="2"/>
        <v>0</v>
      </c>
      <c r="O139" s="70">
        <f t="shared" si="3"/>
        <v>0</v>
      </c>
      <c r="P139" s="70">
        <f t="shared" si="4"/>
        <v>0</v>
      </c>
      <c r="Q139" s="70">
        <f t="shared" si="5"/>
        <v>0</v>
      </c>
      <c r="R139" s="70">
        <f t="shared" si="6"/>
        <v>0</v>
      </c>
      <c r="S139" s="70">
        <f t="shared" si="7"/>
        <v>0</v>
      </c>
      <c r="T139" s="70">
        <f t="shared" si="8"/>
        <v>0</v>
      </c>
      <c r="U139" s="70">
        <f t="shared" si="9"/>
        <v>0</v>
      </c>
    </row>
    <row r="140" ht="15.0" customHeight="1">
      <c r="A140" s="12" t="s">
        <v>85</v>
      </c>
      <c r="B140" s="76" t="s">
        <v>138</v>
      </c>
      <c r="C140" s="72">
        <f>Avaliacao_Humana!AL25</f>
        <v>2</v>
      </c>
      <c r="D140" s="72">
        <f>ChatGPT_ZeroShot!AL25</f>
        <v>4</v>
      </c>
      <c r="E140" s="72">
        <f>ChatGPT_FewShot!AL25</f>
        <v>1</v>
      </c>
      <c r="F140" s="72">
        <f>ChatGPT_CoT!AL25</f>
        <v>4</v>
      </c>
      <c r="G140" s="72">
        <f>Gemini_ZeroShot!AL25</f>
        <v>0</v>
      </c>
      <c r="H140" s="72">
        <f>Gemini_FewShot!AL25</f>
        <v>4</v>
      </c>
      <c r="I140" s="72">
        <f>Gemini_CoT!AL25</f>
        <v>0</v>
      </c>
      <c r="J140" s="72">
        <f>Claude_ZeroShot!AL25</f>
        <v>3</v>
      </c>
      <c r="K140" s="72">
        <f>Claude_FewShot!AL25</f>
        <v>0</v>
      </c>
      <c r="L140" s="72">
        <f>Claude_CoT!AL25</f>
        <v>1</v>
      </c>
      <c r="M140" s="72">
        <f t="shared" si="1"/>
        <v>2</v>
      </c>
      <c r="N140" s="72">
        <f t="shared" si="2"/>
        <v>1</v>
      </c>
      <c r="O140" s="72">
        <f t="shared" si="3"/>
        <v>2</v>
      </c>
      <c r="P140" s="72">
        <f t="shared" si="4"/>
        <v>2</v>
      </c>
      <c r="Q140" s="72">
        <f t="shared" si="5"/>
        <v>2</v>
      </c>
      <c r="R140" s="72">
        <f t="shared" si="6"/>
        <v>2</v>
      </c>
      <c r="S140" s="72">
        <f t="shared" si="7"/>
        <v>1</v>
      </c>
      <c r="T140" s="72">
        <f t="shared" si="8"/>
        <v>2</v>
      </c>
      <c r="U140" s="72">
        <f t="shared" si="9"/>
        <v>1</v>
      </c>
    </row>
    <row r="141" ht="15.0" customHeight="1">
      <c r="A141" s="29" t="s">
        <v>87</v>
      </c>
      <c r="B141" s="69" t="s">
        <v>133</v>
      </c>
      <c r="C141" s="70">
        <f>Avaliacao_Humana!H26</f>
        <v>0</v>
      </c>
      <c r="D141" s="70">
        <f>ChatGPT_ZeroShot!H26</f>
        <v>0</v>
      </c>
      <c r="E141" s="70">
        <f>ChatGPT_FewShot!H26</f>
        <v>0</v>
      </c>
      <c r="F141" s="70">
        <f>ChatGPT_CoT!H26</f>
        <v>0</v>
      </c>
      <c r="G141" s="70">
        <f>Gemini_ZeroShot!H26</f>
        <v>0</v>
      </c>
      <c r="H141" s="70">
        <f>Gemini_FewShot!H26</f>
        <v>0</v>
      </c>
      <c r="I141" s="70">
        <f>Gemini_CoT!H26</f>
        <v>0</v>
      </c>
      <c r="J141" s="70">
        <f>Claude_ZeroShot!H26</f>
        <v>0</v>
      </c>
      <c r="K141" s="70">
        <f>Claude_FewShot!H26</f>
        <v>0</v>
      </c>
      <c r="L141" s="70">
        <f>Claude_CoT!H26</f>
        <v>0</v>
      </c>
      <c r="M141" s="70">
        <f t="shared" si="1"/>
        <v>0</v>
      </c>
      <c r="N141" s="70">
        <f t="shared" si="2"/>
        <v>0</v>
      </c>
      <c r="O141" s="70">
        <f t="shared" si="3"/>
        <v>0</v>
      </c>
      <c r="P141" s="70">
        <f t="shared" si="4"/>
        <v>0</v>
      </c>
      <c r="Q141" s="70">
        <f t="shared" si="5"/>
        <v>0</v>
      </c>
      <c r="R141" s="70">
        <f t="shared" si="6"/>
        <v>0</v>
      </c>
      <c r="S141" s="70">
        <f t="shared" si="7"/>
        <v>0</v>
      </c>
      <c r="T141" s="70">
        <f t="shared" si="8"/>
        <v>0</v>
      </c>
      <c r="U141" s="70">
        <f t="shared" si="9"/>
        <v>0</v>
      </c>
    </row>
    <row r="142" ht="15.0" customHeight="1">
      <c r="A142" s="12" t="s">
        <v>87</v>
      </c>
      <c r="B142" s="71" t="s">
        <v>134</v>
      </c>
      <c r="C142" s="72">
        <f>Avaliacao_Humana!N26</f>
        <v>0</v>
      </c>
      <c r="D142" s="72">
        <f>ChatGPT_ZeroShot!N26</f>
        <v>0</v>
      </c>
      <c r="E142" s="72">
        <f>ChatGPT_FewShot!N26</f>
        <v>0</v>
      </c>
      <c r="F142" s="72">
        <f>ChatGPT_CoT!N26</f>
        <v>0</v>
      </c>
      <c r="G142" s="72">
        <f>Gemini_ZeroShot!N26</f>
        <v>0</v>
      </c>
      <c r="H142" s="72">
        <f>Gemini_FewShot!N26</f>
        <v>0</v>
      </c>
      <c r="I142" s="72">
        <f>Gemini_CoT!N26</f>
        <v>0</v>
      </c>
      <c r="J142" s="72">
        <f>Claude_ZeroShot!N26</f>
        <v>0</v>
      </c>
      <c r="K142" s="72">
        <f>Claude_FewShot!N26</f>
        <v>0</v>
      </c>
      <c r="L142" s="72">
        <f>Claude_CoT!N26</f>
        <v>0</v>
      </c>
      <c r="M142" s="72">
        <f t="shared" si="1"/>
        <v>0</v>
      </c>
      <c r="N142" s="72">
        <f t="shared" si="2"/>
        <v>0</v>
      </c>
      <c r="O142" s="72">
        <f t="shared" si="3"/>
        <v>0</v>
      </c>
      <c r="P142" s="72">
        <f t="shared" si="4"/>
        <v>0</v>
      </c>
      <c r="Q142" s="72">
        <f t="shared" si="5"/>
        <v>0</v>
      </c>
      <c r="R142" s="72">
        <f t="shared" si="6"/>
        <v>0</v>
      </c>
      <c r="S142" s="72">
        <f t="shared" si="7"/>
        <v>0</v>
      </c>
      <c r="T142" s="72">
        <f t="shared" si="8"/>
        <v>0</v>
      </c>
      <c r="U142" s="72">
        <f t="shared" si="9"/>
        <v>0</v>
      </c>
    </row>
    <row r="143" ht="15.0" customHeight="1">
      <c r="A143" s="29" t="s">
        <v>87</v>
      </c>
      <c r="B143" s="73" t="s">
        <v>135</v>
      </c>
      <c r="C143" s="70">
        <f>Avaliacao_Humana!T26</f>
        <v>0</v>
      </c>
      <c r="D143" s="70">
        <f>ChatGPT_ZeroShot!T26</f>
        <v>0</v>
      </c>
      <c r="E143" s="70">
        <f>ChatGPT_FewShot!T26</f>
        <v>0</v>
      </c>
      <c r="F143" s="70">
        <f>ChatGPT_CoT!T26</f>
        <v>0</v>
      </c>
      <c r="G143" s="70">
        <f>Gemini_ZeroShot!T26</f>
        <v>0</v>
      </c>
      <c r="H143" s="70">
        <f>Gemini_FewShot!T26</f>
        <v>0</v>
      </c>
      <c r="I143" s="70">
        <f>Gemini_CoT!T26</f>
        <v>0</v>
      </c>
      <c r="J143" s="70">
        <f>Claude_ZeroShot!T26</f>
        <v>0</v>
      </c>
      <c r="K143" s="70">
        <f>Claude_FewShot!T26</f>
        <v>0</v>
      </c>
      <c r="L143" s="70">
        <f>Claude_CoT!T26</f>
        <v>0</v>
      </c>
      <c r="M143" s="70">
        <f t="shared" si="1"/>
        <v>0</v>
      </c>
      <c r="N143" s="70">
        <f t="shared" si="2"/>
        <v>0</v>
      </c>
      <c r="O143" s="70">
        <f t="shared" si="3"/>
        <v>0</v>
      </c>
      <c r="P143" s="70">
        <f t="shared" si="4"/>
        <v>0</v>
      </c>
      <c r="Q143" s="70">
        <f t="shared" si="5"/>
        <v>0</v>
      </c>
      <c r="R143" s="70">
        <f t="shared" si="6"/>
        <v>0</v>
      </c>
      <c r="S143" s="70">
        <f t="shared" si="7"/>
        <v>0</v>
      </c>
      <c r="T143" s="70">
        <f t="shared" si="8"/>
        <v>0</v>
      </c>
      <c r="U143" s="70">
        <f t="shared" si="9"/>
        <v>0</v>
      </c>
    </row>
    <row r="144" ht="15.0" customHeight="1">
      <c r="A144" s="12" t="s">
        <v>87</v>
      </c>
      <c r="B144" s="74" t="s">
        <v>136</v>
      </c>
      <c r="C144" s="72">
        <f>Avaliacao_Humana!Z26</f>
        <v>0</v>
      </c>
      <c r="D144" s="72">
        <f>ChatGPT_ZeroShot!Z26</f>
        <v>0</v>
      </c>
      <c r="E144" s="72">
        <f>ChatGPT_FewShot!Z26</f>
        <v>0</v>
      </c>
      <c r="F144" s="72">
        <f>ChatGPT_CoT!Z26</f>
        <v>0</v>
      </c>
      <c r="G144" s="72">
        <f>Gemini_ZeroShot!Z26</f>
        <v>0</v>
      </c>
      <c r="H144" s="72">
        <f>Gemini_FewShot!Z26</f>
        <v>0</v>
      </c>
      <c r="I144" s="72">
        <f>Gemini_CoT!Z26</f>
        <v>0</v>
      </c>
      <c r="J144" s="72">
        <f>Claude_ZeroShot!Z26</f>
        <v>0</v>
      </c>
      <c r="K144" s="72">
        <f>Claude_FewShot!Z26</f>
        <v>0</v>
      </c>
      <c r="L144" s="72">
        <f>Claude_CoT!Z26</f>
        <v>0</v>
      </c>
      <c r="M144" s="72">
        <f t="shared" si="1"/>
        <v>0</v>
      </c>
      <c r="N144" s="72">
        <f t="shared" si="2"/>
        <v>0</v>
      </c>
      <c r="O144" s="72">
        <f t="shared" si="3"/>
        <v>0</v>
      </c>
      <c r="P144" s="72">
        <f t="shared" si="4"/>
        <v>0</v>
      </c>
      <c r="Q144" s="72">
        <f t="shared" si="5"/>
        <v>0</v>
      </c>
      <c r="R144" s="72">
        <f t="shared" si="6"/>
        <v>0</v>
      </c>
      <c r="S144" s="72">
        <f t="shared" si="7"/>
        <v>0</v>
      </c>
      <c r="T144" s="72">
        <f t="shared" si="8"/>
        <v>0</v>
      </c>
      <c r="U144" s="72">
        <f t="shared" si="9"/>
        <v>0</v>
      </c>
    </row>
    <row r="145" ht="15.0" customHeight="1">
      <c r="A145" s="29" t="s">
        <v>87</v>
      </c>
      <c r="B145" s="75" t="s">
        <v>137</v>
      </c>
      <c r="C145" s="70">
        <f>Avaliacao_Humana!AF26</f>
        <v>0</v>
      </c>
      <c r="D145" s="70">
        <f>ChatGPT_ZeroShot!AF26</f>
        <v>0</v>
      </c>
      <c r="E145" s="70">
        <f>ChatGPT_FewShot!AF26</f>
        <v>0</v>
      </c>
      <c r="F145" s="70">
        <f>ChatGPT_CoT!AF26</f>
        <v>0</v>
      </c>
      <c r="G145" s="70">
        <f>Gemini_ZeroShot!AF26</f>
        <v>0</v>
      </c>
      <c r="H145" s="70">
        <f>Gemini_FewShot!AF26</f>
        <v>0</v>
      </c>
      <c r="I145" s="70">
        <f>Gemini_CoT!AF26</f>
        <v>0</v>
      </c>
      <c r="J145" s="70">
        <f>Claude_ZeroShot!AF26</f>
        <v>0</v>
      </c>
      <c r="K145" s="70">
        <f>Claude_FewShot!AF26</f>
        <v>0</v>
      </c>
      <c r="L145" s="70">
        <f>Claude_CoT!AF26</f>
        <v>0</v>
      </c>
      <c r="M145" s="70">
        <f t="shared" si="1"/>
        <v>0</v>
      </c>
      <c r="N145" s="70">
        <f t="shared" si="2"/>
        <v>0</v>
      </c>
      <c r="O145" s="70">
        <f t="shared" si="3"/>
        <v>0</v>
      </c>
      <c r="P145" s="70">
        <f t="shared" si="4"/>
        <v>0</v>
      </c>
      <c r="Q145" s="70">
        <f t="shared" si="5"/>
        <v>0</v>
      </c>
      <c r="R145" s="70">
        <f t="shared" si="6"/>
        <v>0</v>
      </c>
      <c r="S145" s="70">
        <f t="shared" si="7"/>
        <v>0</v>
      </c>
      <c r="T145" s="70">
        <f t="shared" si="8"/>
        <v>0</v>
      </c>
      <c r="U145" s="70">
        <f t="shared" si="9"/>
        <v>0</v>
      </c>
    </row>
    <row r="146" ht="15.0" customHeight="1">
      <c r="A146" s="12" t="s">
        <v>87</v>
      </c>
      <c r="B146" s="76" t="s">
        <v>138</v>
      </c>
      <c r="C146" s="72">
        <f>Avaliacao_Humana!AL26</f>
        <v>2</v>
      </c>
      <c r="D146" s="72">
        <f>ChatGPT_ZeroShot!AL26</f>
        <v>4</v>
      </c>
      <c r="E146" s="72">
        <f>ChatGPT_FewShot!AL26</f>
        <v>1</v>
      </c>
      <c r="F146" s="72">
        <f>ChatGPT_CoT!AL26</f>
        <v>4</v>
      </c>
      <c r="G146" s="72">
        <f>Gemini_ZeroShot!AL26</f>
        <v>0</v>
      </c>
      <c r="H146" s="72">
        <f>Gemini_FewShot!AL26</f>
        <v>4</v>
      </c>
      <c r="I146" s="72">
        <f>Gemini_CoT!AL26</f>
        <v>0</v>
      </c>
      <c r="J146" s="72">
        <f>Claude_ZeroShot!AL26</f>
        <v>3</v>
      </c>
      <c r="K146" s="72">
        <f>Claude_FewShot!AL26</f>
        <v>0</v>
      </c>
      <c r="L146" s="72">
        <f>Claude_CoT!AL26</f>
        <v>1</v>
      </c>
      <c r="M146" s="72">
        <f t="shared" si="1"/>
        <v>2</v>
      </c>
      <c r="N146" s="72">
        <f t="shared" si="2"/>
        <v>1</v>
      </c>
      <c r="O146" s="72">
        <f t="shared" si="3"/>
        <v>2</v>
      </c>
      <c r="P146" s="72">
        <f t="shared" si="4"/>
        <v>2</v>
      </c>
      <c r="Q146" s="72">
        <f t="shared" si="5"/>
        <v>2</v>
      </c>
      <c r="R146" s="72">
        <f t="shared" si="6"/>
        <v>2</v>
      </c>
      <c r="S146" s="72">
        <f t="shared" si="7"/>
        <v>1</v>
      </c>
      <c r="T146" s="72">
        <f t="shared" si="8"/>
        <v>2</v>
      </c>
      <c r="U146" s="72">
        <f t="shared" si="9"/>
        <v>1</v>
      </c>
    </row>
    <row r="147" ht="15.0" customHeight="1">
      <c r="A147" s="29" t="s">
        <v>89</v>
      </c>
      <c r="B147" s="69" t="s">
        <v>133</v>
      </c>
      <c r="C147" s="70">
        <f>Avaliacao_Humana!H27</f>
        <v>0</v>
      </c>
      <c r="D147" s="70">
        <f>ChatGPT_ZeroShot!H27</f>
        <v>0</v>
      </c>
      <c r="E147" s="70">
        <f>ChatGPT_FewShot!H27</f>
        <v>0</v>
      </c>
      <c r="F147" s="70">
        <f>ChatGPT_CoT!H27</f>
        <v>0</v>
      </c>
      <c r="G147" s="70">
        <f>Gemini_ZeroShot!H27</f>
        <v>0</v>
      </c>
      <c r="H147" s="70">
        <f>Gemini_FewShot!H27</f>
        <v>0</v>
      </c>
      <c r="I147" s="70">
        <f>Gemini_CoT!H27</f>
        <v>0</v>
      </c>
      <c r="J147" s="70">
        <f>Claude_ZeroShot!H27</f>
        <v>0</v>
      </c>
      <c r="K147" s="70">
        <f>Claude_FewShot!H27</f>
        <v>0</v>
      </c>
      <c r="L147" s="70">
        <f>Claude_CoT!H27</f>
        <v>0</v>
      </c>
      <c r="M147" s="70">
        <f t="shared" si="1"/>
        <v>0</v>
      </c>
      <c r="N147" s="70">
        <f t="shared" si="2"/>
        <v>0</v>
      </c>
      <c r="O147" s="70">
        <f t="shared" si="3"/>
        <v>0</v>
      </c>
      <c r="P147" s="70">
        <f t="shared" si="4"/>
        <v>0</v>
      </c>
      <c r="Q147" s="70">
        <f t="shared" si="5"/>
        <v>0</v>
      </c>
      <c r="R147" s="70">
        <f t="shared" si="6"/>
        <v>0</v>
      </c>
      <c r="S147" s="70">
        <f t="shared" si="7"/>
        <v>0</v>
      </c>
      <c r="T147" s="70">
        <f t="shared" si="8"/>
        <v>0</v>
      </c>
      <c r="U147" s="70">
        <f t="shared" si="9"/>
        <v>0</v>
      </c>
    </row>
    <row r="148" ht="15.0" customHeight="1">
      <c r="A148" s="12" t="s">
        <v>89</v>
      </c>
      <c r="B148" s="71" t="s">
        <v>134</v>
      </c>
      <c r="C148" s="72">
        <f>Avaliacao_Humana!N27</f>
        <v>1</v>
      </c>
      <c r="D148" s="72">
        <f>ChatGPT_ZeroShot!N27</f>
        <v>0</v>
      </c>
      <c r="E148" s="72">
        <f>ChatGPT_FewShot!N27</f>
        <v>0</v>
      </c>
      <c r="F148" s="72">
        <f>ChatGPT_CoT!N27</f>
        <v>0</v>
      </c>
      <c r="G148" s="72">
        <f>Gemini_ZeroShot!N27</f>
        <v>0</v>
      </c>
      <c r="H148" s="72">
        <f>Gemini_FewShot!N27</f>
        <v>0</v>
      </c>
      <c r="I148" s="72">
        <f>Gemini_CoT!N27</f>
        <v>0</v>
      </c>
      <c r="J148" s="72">
        <f>Claude_ZeroShot!N27</f>
        <v>0</v>
      </c>
      <c r="K148" s="72">
        <f>Claude_FewShot!N27</f>
        <v>0</v>
      </c>
      <c r="L148" s="72">
        <f>Claude_CoT!N27</f>
        <v>0</v>
      </c>
      <c r="M148" s="72">
        <f t="shared" si="1"/>
        <v>1</v>
      </c>
      <c r="N148" s="72">
        <f t="shared" si="2"/>
        <v>1</v>
      </c>
      <c r="O148" s="72">
        <f t="shared" si="3"/>
        <v>1</v>
      </c>
      <c r="P148" s="72">
        <f t="shared" si="4"/>
        <v>1</v>
      </c>
      <c r="Q148" s="72">
        <f t="shared" si="5"/>
        <v>1</v>
      </c>
      <c r="R148" s="72">
        <f t="shared" si="6"/>
        <v>1</v>
      </c>
      <c r="S148" s="72">
        <f t="shared" si="7"/>
        <v>1</v>
      </c>
      <c r="T148" s="72">
        <f t="shared" si="8"/>
        <v>1</v>
      </c>
      <c r="U148" s="72">
        <f t="shared" si="9"/>
        <v>1</v>
      </c>
    </row>
    <row r="149" ht="15.0" customHeight="1">
      <c r="A149" s="29" t="s">
        <v>89</v>
      </c>
      <c r="B149" s="73" t="s">
        <v>135</v>
      </c>
      <c r="C149" s="70">
        <f>Avaliacao_Humana!T27</f>
        <v>0</v>
      </c>
      <c r="D149" s="70">
        <f>ChatGPT_ZeroShot!T27</f>
        <v>0</v>
      </c>
      <c r="E149" s="70">
        <f>ChatGPT_FewShot!T27</f>
        <v>0</v>
      </c>
      <c r="F149" s="70">
        <f>ChatGPT_CoT!T27</f>
        <v>0</v>
      </c>
      <c r="G149" s="70">
        <f>Gemini_ZeroShot!T27</f>
        <v>0</v>
      </c>
      <c r="H149" s="70">
        <f>Gemini_FewShot!T27</f>
        <v>0</v>
      </c>
      <c r="I149" s="70">
        <f>Gemini_CoT!T27</f>
        <v>0</v>
      </c>
      <c r="J149" s="70">
        <f>Claude_ZeroShot!T27</f>
        <v>0</v>
      </c>
      <c r="K149" s="70">
        <f>Claude_FewShot!T27</f>
        <v>0</v>
      </c>
      <c r="L149" s="70">
        <f>Claude_CoT!T27</f>
        <v>0</v>
      </c>
      <c r="M149" s="70">
        <f t="shared" si="1"/>
        <v>0</v>
      </c>
      <c r="N149" s="70">
        <f t="shared" si="2"/>
        <v>0</v>
      </c>
      <c r="O149" s="70">
        <f t="shared" si="3"/>
        <v>0</v>
      </c>
      <c r="P149" s="70">
        <f t="shared" si="4"/>
        <v>0</v>
      </c>
      <c r="Q149" s="70">
        <f t="shared" si="5"/>
        <v>0</v>
      </c>
      <c r="R149" s="70">
        <f t="shared" si="6"/>
        <v>0</v>
      </c>
      <c r="S149" s="70">
        <f t="shared" si="7"/>
        <v>0</v>
      </c>
      <c r="T149" s="70">
        <f t="shared" si="8"/>
        <v>0</v>
      </c>
      <c r="U149" s="70">
        <f t="shared" si="9"/>
        <v>0</v>
      </c>
    </row>
    <row r="150" ht="15.0" customHeight="1">
      <c r="A150" s="12" t="s">
        <v>89</v>
      </c>
      <c r="B150" s="74" t="s">
        <v>136</v>
      </c>
      <c r="C150" s="72">
        <f>Avaliacao_Humana!Z27</f>
        <v>0</v>
      </c>
      <c r="D150" s="72">
        <f>ChatGPT_ZeroShot!Z27</f>
        <v>0</v>
      </c>
      <c r="E150" s="72">
        <f>ChatGPT_FewShot!Z27</f>
        <v>0</v>
      </c>
      <c r="F150" s="72">
        <f>ChatGPT_CoT!Z27</f>
        <v>0</v>
      </c>
      <c r="G150" s="72">
        <f>Gemini_ZeroShot!Z27</f>
        <v>0</v>
      </c>
      <c r="H150" s="72">
        <f>Gemini_FewShot!Z27</f>
        <v>0</v>
      </c>
      <c r="I150" s="72">
        <f>Gemini_CoT!Z27</f>
        <v>0</v>
      </c>
      <c r="J150" s="72">
        <f>Claude_ZeroShot!Z27</f>
        <v>0</v>
      </c>
      <c r="K150" s="72">
        <f>Claude_FewShot!Z27</f>
        <v>0</v>
      </c>
      <c r="L150" s="72">
        <f>Claude_CoT!Z27</f>
        <v>0</v>
      </c>
      <c r="M150" s="72">
        <f t="shared" si="1"/>
        <v>0</v>
      </c>
      <c r="N150" s="72">
        <f t="shared" si="2"/>
        <v>0</v>
      </c>
      <c r="O150" s="72">
        <f t="shared" si="3"/>
        <v>0</v>
      </c>
      <c r="P150" s="72">
        <f t="shared" si="4"/>
        <v>0</v>
      </c>
      <c r="Q150" s="72">
        <f t="shared" si="5"/>
        <v>0</v>
      </c>
      <c r="R150" s="72">
        <f t="shared" si="6"/>
        <v>0</v>
      </c>
      <c r="S150" s="72">
        <f t="shared" si="7"/>
        <v>0</v>
      </c>
      <c r="T150" s="72">
        <f t="shared" si="8"/>
        <v>0</v>
      </c>
      <c r="U150" s="72">
        <f t="shared" si="9"/>
        <v>0</v>
      </c>
    </row>
    <row r="151" ht="15.0" customHeight="1">
      <c r="A151" s="29" t="s">
        <v>89</v>
      </c>
      <c r="B151" s="75" t="s">
        <v>137</v>
      </c>
      <c r="C151" s="70">
        <f>Avaliacao_Humana!AF27</f>
        <v>0</v>
      </c>
      <c r="D151" s="70">
        <f>ChatGPT_ZeroShot!AF27</f>
        <v>0</v>
      </c>
      <c r="E151" s="70">
        <f>ChatGPT_FewShot!AF27</f>
        <v>0</v>
      </c>
      <c r="F151" s="70">
        <f>ChatGPT_CoT!AF27</f>
        <v>0</v>
      </c>
      <c r="G151" s="70">
        <f>Gemini_ZeroShot!AF27</f>
        <v>0</v>
      </c>
      <c r="H151" s="70">
        <f>Gemini_FewShot!AF27</f>
        <v>0</v>
      </c>
      <c r="I151" s="70">
        <f>Gemini_CoT!AF27</f>
        <v>0</v>
      </c>
      <c r="J151" s="70">
        <f>Claude_ZeroShot!AF27</f>
        <v>0</v>
      </c>
      <c r="K151" s="70">
        <f>Claude_FewShot!AF27</f>
        <v>0</v>
      </c>
      <c r="L151" s="70">
        <f>Claude_CoT!AF27</f>
        <v>0</v>
      </c>
      <c r="M151" s="70">
        <f t="shared" si="1"/>
        <v>0</v>
      </c>
      <c r="N151" s="70">
        <f t="shared" si="2"/>
        <v>0</v>
      </c>
      <c r="O151" s="70">
        <f t="shared" si="3"/>
        <v>0</v>
      </c>
      <c r="P151" s="70">
        <f t="shared" si="4"/>
        <v>0</v>
      </c>
      <c r="Q151" s="70">
        <f t="shared" si="5"/>
        <v>0</v>
      </c>
      <c r="R151" s="70">
        <f t="shared" si="6"/>
        <v>0</v>
      </c>
      <c r="S151" s="70">
        <f t="shared" si="7"/>
        <v>0</v>
      </c>
      <c r="T151" s="70">
        <f t="shared" si="8"/>
        <v>0</v>
      </c>
      <c r="U151" s="70">
        <f t="shared" si="9"/>
        <v>0</v>
      </c>
    </row>
    <row r="152" ht="15.0" customHeight="1">
      <c r="A152" s="12" t="s">
        <v>89</v>
      </c>
      <c r="B152" s="76" t="s">
        <v>138</v>
      </c>
      <c r="C152" s="72">
        <f>Avaliacao_Humana!AL27</f>
        <v>3</v>
      </c>
      <c r="D152" s="72">
        <f>ChatGPT_ZeroShot!AL27</f>
        <v>4</v>
      </c>
      <c r="E152" s="72">
        <f>ChatGPT_FewShot!AL27</f>
        <v>2</v>
      </c>
      <c r="F152" s="72">
        <f>ChatGPT_CoT!AL27</f>
        <v>4</v>
      </c>
      <c r="G152" s="72">
        <f>Gemini_ZeroShot!AL27</f>
        <v>2</v>
      </c>
      <c r="H152" s="72">
        <f>Gemini_FewShot!AL27</f>
        <v>4</v>
      </c>
      <c r="I152" s="72">
        <f>Gemini_CoT!AL27</f>
        <v>2</v>
      </c>
      <c r="J152" s="72">
        <f>Claude_ZeroShot!AL27</f>
        <v>4</v>
      </c>
      <c r="K152" s="72">
        <f>Claude_FewShot!AL27</f>
        <v>2</v>
      </c>
      <c r="L152" s="72">
        <f>Claude_CoT!AL27</f>
        <v>2</v>
      </c>
      <c r="M152" s="72">
        <f t="shared" si="1"/>
        <v>1</v>
      </c>
      <c r="N152" s="72">
        <f t="shared" si="2"/>
        <v>1</v>
      </c>
      <c r="O152" s="72">
        <f t="shared" si="3"/>
        <v>1</v>
      </c>
      <c r="P152" s="72">
        <f t="shared" si="4"/>
        <v>1</v>
      </c>
      <c r="Q152" s="72">
        <f t="shared" si="5"/>
        <v>1</v>
      </c>
      <c r="R152" s="72">
        <f t="shared" si="6"/>
        <v>1</v>
      </c>
      <c r="S152" s="72">
        <f t="shared" si="7"/>
        <v>1</v>
      </c>
      <c r="T152" s="72">
        <f t="shared" si="8"/>
        <v>1</v>
      </c>
      <c r="U152" s="72">
        <f t="shared" si="9"/>
        <v>1</v>
      </c>
    </row>
    <row r="153" ht="15.0" customHeight="1">
      <c r="A153" s="29" t="s">
        <v>91</v>
      </c>
      <c r="B153" s="69" t="s">
        <v>133</v>
      </c>
      <c r="C153" s="70">
        <f>Avaliacao_Humana!H28</f>
        <v>0</v>
      </c>
      <c r="D153" s="70">
        <f>ChatGPT_ZeroShot!H28</f>
        <v>0</v>
      </c>
      <c r="E153" s="70">
        <f>ChatGPT_FewShot!H28</f>
        <v>0</v>
      </c>
      <c r="F153" s="70">
        <f>ChatGPT_CoT!H28</f>
        <v>0</v>
      </c>
      <c r="G153" s="70">
        <f>Gemini_ZeroShot!H28</f>
        <v>0</v>
      </c>
      <c r="H153" s="70">
        <f>Gemini_FewShot!H28</f>
        <v>0</v>
      </c>
      <c r="I153" s="70">
        <f>Gemini_CoT!H28</f>
        <v>0</v>
      </c>
      <c r="J153" s="70">
        <f>Claude_ZeroShot!H28</f>
        <v>0</v>
      </c>
      <c r="K153" s="70">
        <f>Claude_FewShot!H28</f>
        <v>0</v>
      </c>
      <c r="L153" s="70">
        <f>Claude_CoT!H28</f>
        <v>0</v>
      </c>
      <c r="M153" s="70">
        <f t="shared" si="1"/>
        <v>0</v>
      </c>
      <c r="N153" s="70">
        <f t="shared" si="2"/>
        <v>0</v>
      </c>
      <c r="O153" s="70">
        <f t="shared" si="3"/>
        <v>0</v>
      </c>
      <c r="P153" s="70">
        <f t="shared" si="4"/>
        <v>0</v>
      </c>
      <c r="Q153" s="70">
        <f t="shared" si="5"/>
        <v>0</v>
      </c>
      <c r="R153" s="70">
        <f t="shared" si="6"/>
        <v>0</v>
      </c>
      <c r="S153" s="70">
        <f t="shared" si="7"/>
        <v>0</v>
      </c>
      <c r="T153" s="70">
        <f t="shared" si="8"/>
        <v>0</v>
      </c>
      <c r="U153" s="70">
        <f t="shared" si="9"/>
        <v>0</v>
      </c>
    </row>
    <row r="154" ht="15.0" customHeight="1">
      <c r="A154" s="12" t="s">
        <v>91</v>
      </c>
      <c r="B154" s="71" t="s">
        <v>134</v>
      </c>
      <c r="C154" s="72">
        <f>Avaliacao_Humana!N28</f>
        <v>1</v>
      </c>
      <c r="D154" s="72">
        <f>ChatGPT_ZeroShot!N28</f>
        <v>1</v>
      </c>
      <c r="E154" s="72">
        <f>ChatGPT_FewShot!N28</f>
        <v>0</v>
      </c>
      <c r="F154" s="72">
        <f>ChatGPT_CoT!N28</f>
        <v>1</v>
      </c>
      <c r="G154" s="72">
        <f>Gemini_ZeroShot!N28</f>
        <v>0</v>
      </c>
      <c r="H154" s="72">
        <f>Gemini_FewShot!N28</f>
        <v>0</v>
      </c>
      <c r="I154" s="72">
        <f>Gemini_CoT!N28</f>
        <v>0</v>
      </c>
      <c r="J154" s="72">
        <f>Claude_ZeroShot!N28</f>
        <v>1</v>
      </c>
      <c r="K154" s="72">
        <f>Claude_FewShot!N28</f>
        <v>1</v>
      </c>
      <c r="L154" s="72">
        <f>Claude_CoT!N28</f>
        <v>0</v>
      </c>
      <c r="M154" s="72">
        <f t="shared" si="1"/>
        <v>0</v>
      </c>
      <c r="N154" s="72">
        <f t="shared" si="2"/>
        <v>1</v>
      </c>
      <c r="O154" s="72">
        <f t="shared" si="3"/>
        <v>0</v>
      </c>
      <c r="P154" s="72">
        <f t="shared" si="4"/>
        <v>1</v>
      </c>
      <c r="Q154" s="72">
        <f t="shared" si="5"/>
        <v>1</v>
      </c>
      <c r="R154" s="72">
        <f t="shared" si="6"/>
        <v>1</v>
      </c>
      <c r="S154" s="72">
        <f t="shared" si="7"/>
        <v>0</v>
      </c>
      <c r="T154" s="72">
        <f t="shared" si="8"/>
        <v>0</v>
      </c>
      <c r="U154" s="72">
        <f t="shared" si="9"/>
        <v>1</v>
      </c>
    </row>
    <row r="155" ht="15.0" customHeight="1">
      <c r="A155" s="29" t="s">
        <v>91</v>
      </c>
      <c r="B155" s="73" t="s">
        <v>135</v>
      </c>
      <c r="C155" s="70">
        <f>Avaliacao_Humana!T28</f>
        <v>0</v>
      </c>
      <c r="D155" s="70">
        <f>ChatGPT_ZeroShot!T28</f>
        <v>0</v>
      </c>
      <c r="E155" s="70">
        <f>ChatGPT_FewShot!T28</f>
        <v>0</v>
      </c>
      <c r="F155" s="70">
        <f>ChatGPT_CoT!T28</f>
        <v>0</v>
      </c>
      <c r="G155" s="70">
        <f>Gemini_ZeroShot!T28</f>
        <v>0</v>
      </c>
      <c r="H155" s="70">
        <f>Gemini_FewShot!T28</f>
        <v>0</v>
      </c>
      <c r="I155" s="70">
        <f>Gemini_CoT!T28</f>
        <v>0</v>
      </c>
      <c r="J155" s="70">
        <f>Claude_ZeroShot!T28</f>
        <v>1</v>
      </c>
      <c r="K155" s="70">
        <f>Claude_FewShot!T28</f>
        <v>0</v>
      </c>
      <c r="L155" s="70">
        <f>Claude_CoT!T28</f>
        <v>1</v>
      </c>
      <c r="M155" s="70">
        <f t="shared" si="1"/>
        <v>0</v>
      </c>
      <c r="N155" s="70">
        <f t="shared" si="2"/>
        <v>0</v>
      </c>
      <c r="O155" s="70">
        <f t="shared" si="3"/>
        <v>0</v>
      </c>
      <c r="P155" s="70">
        <f t="shared" si="4"/>
        <v>0</v>
      </c>
      <c r="Q155" s="70">
        <f t="shared" si="5"/>
        <v>0</v>
      </c>
      <c r="R155" s="70">
        <f t="shared" si="6"/>
        <v>0</v>
      </c>
      <c r="S155" s="70">
        <f t="shared" si="7"/>
        <v>1</v>
      </c>
      <c r="T155" s="70">
        <f t="shared" si="8"/>
        <v>0</v>
      </c>
      <c r="U155" s="70">
        <f t="shared" si="9"/>
        <v>1</v>
      </c>
    </row>
    <row r="156" ht="15.0" customHeight="1">
      <c r="A156" s="12" t="s">
        <v>91</v>
      </c>
      <c r="B156" s="74" t="s">
        <v>136</v>
      </c>
      <c r="C156" s="72">
        <f>Avaliacao_Humana!Z28</f>
        <v>1</v>
      </c>
      <c r="D156" s="72">
        <f>ChatGPT_ZeroShot!Z28</f>
        <v>0</v>
      </c>
      <c r="E156" s="72">
        <f>ChatGPT_FewShot!Z28</f>
        <v>0</v>
      </c>
      <c r="F156" s="72">
        <f>ChatGPT_CoT!Z28</f>
        <v>0</v>
      </c>
      <c r="G156" s="72">
        <f>Gemini_ZeroShot!Z28</f>
        <v>0</v>
      </c>
      <c r="H156" s="72">
        <f>Gemini_FewShot!Z28</f>
        <v>0</v>
      </c>
      <c r="I156" s="72">
        <f>Gemini_CoT!Z28</f>
        <v>0</v>
      </c>
      <c r="J156" s="72">
        <f>Claude_ZeroShot!Z28</f>
        <v>0</v>
      </c>
      <c r="K156" s="72">
        <f>Claude_FewShot!Z28</f>
        <v>0</v>
      </c>
      <c r="L156" s="72">
        <f>Claude_CoT!Z28</f>
        <v>0</v>
      </c>
      <c r="M156" s="72">
        <f t="shared" si="1"/>
        <v>1</v>
      </c>
      <c r="N156" s="72">
        <f t="shared" si="2"/>
        <v>1</v>
      </c>
      <c r="O156" s="72">
        <f t="shared" si="3"/>
        <v>1</v>
      </c>
      <c r="P156" s="72">
        <f t="shared" si="4"/>
        <v>1</v>
      </c>
      <c r="Q156" s="72">
        <f t="shared" si="5"/>
        <v>1</v>
      </c>
      <c r="R156" s="72">
        <f t="shared" si="6"/>
        <v>1</v>
      </c>
      <c r="S156" s="72">
        <f t="shared" si="7"/>
        <v>1</v>
      </c>
      <c r="T156" s="72">
        <f t="shared" si="8"/>
        <v>1</v>
      </c>
      <c r="U156" s="72">
        <f t="shared" si="9"/>
        <v>1</v>
      </c>
    </row>
    <row r="157" ht="15.0" customHeight="1">
      <c r="A157" s="29" t="s">
        <v>91</v>
      </c>
      <c r="B157" s="75" t="s">
        <v>137</v>
      </c>
      <c r="C157" s="70">
        <f>Avaliacao_Humana!AF28</f>
        <v>0</v>
      </c>
      <c r="D157" s="70">
        <f>ChatGPT_ZeroShot!AF28</f>
        <v>0</v>
      </c>
      <c r="E157" s="70">
        <f>ChatGPT_FewShot!AF28</f>
        <v>0</v>
      </c>
      <c r="F157" s="70">
        <f>ChatGPT_CoT!AF28</f>
        <v>0</v>
      </c>
      <c r="G157" s="70">
        <f>Gemini_ZeroShot!AF28</f>
        <v>0</v>
      </c>
      <c r="H157" s="70">
        <f>Gemini_FewShot!AF28</f>
        <v>0</v>
      </c>
      <c r="I157" s="70">
        <f>Gemini_CoT!AF28</f>
        <v>0</v>
      </c>
      <c r="J157" s="70">
        <f>Claude_ZeroShot!AF28</f>
        <v>0</v>
      </c>
      <c r="K157" s="70">
        <f>Claude_FewShot!AF28</f>
        <v>0</v>
      </c>
      <c r="L157" s="70">
        <f>Claude_CoT!AF28</f>
        <v>0</v>
      </c>
      <c r="M157" s="70">
        <f t="shared" si="1"/>
        <v>0</v>
      </c>
      <c r="N157" s="70">
        <f t="shared" si="2"/>
        <v>0</v>
      </c>
      <c r="O157" s="70">
        <f t="shared" si="3"/>
        <v>0</v>
      </c>
      <c r="P157" s="70">
        <f t="shared" si="4"/>
        <v>0</v>
      </c>
      <c r="Q157" s="70">
        <f t="shared" si="5"/>
        <v>0</v>
      </c>
      <c r="R157" s="70">
        <f t="shared" si="6"/>
        <v>0</v>
      </c>
      <c r="S157" s="70">
        <f t="shared" si="7"/>
        <v>0</v>
      </c>
      <c r="T157" s="70">
        <f t="shared" si="8"/>
        <v>0</v>
      </c>
      <c r="U157" s="70">
        <f t="shared" si="9"/>
        <v>0</v>
      </c>
    </row>
    <row r="158" ht="15.0" customHeight="1">
      <c r="A158" s="12" t="s">
        <v>91</v>
      </c>
      <c r="B158" s="76" t="s">
        <v>138</v>
      </c>
      <c r="C158" s="72">
        <f>Avaliacao_Humana!AL28</f>
        <v>1</v>
      </c>
      <c r="D158" s="72">
        <f>ChatGPT_ZeroShot!AL28</f>
        <v>4</v>
      </c>
      <c r="E158" s="72">
        <f>ChatGPT_FewShot!AL28</f>
        <v>2</v>
      </c>
      <c r="F158" s="72">
        <f>ChatGPT_CoT!AL28</f>
        <v>4</v>
      </c>
      <c r="G158" s="72">
        <f>Gemini_ZeroShot!AL28</f>
        <v>1</v>
      </c>
      <c r="H158" s="72">
        <f>Gemini_FewShot!AL28</f>
        <v>4</v>
      </c>
      <c r="I158" s="72">
        <f>Gemini_CoT!AL28</f>
        <v>1</v>
      </c>
      <c r="J158" s="72">
        <f>Claude_ZeroShot!AL28</f>
        <v>3</v>
      </c>
      <c r="K158" s="72">
        <f>Claude_FewShot!AL28</f>
        <v>1</v>
      </c>
      <c r="L158" s="72">
        <f>Claude_CoT!AL28</f>
        <v>1</v>
      </c>
      <c r="M158" s="72">
        <f t="shared" si="1"/>
        <v>3</v>
      </c>
      <c r="N158" s="72">
        <f t="shared" si="2"/>
        <v>1</v>
      </c>
      <c r="O158" s="72">
        <f t="shared" si="3"/>
        <v>3</v>
      </c>
      <c r="P158" s="72">
        <f t="shared" si="4"/>
        <v>0</v>
      </c>
      <c r="Q158" s="72">
        <f t="shared" si="5"/>
        <v>3</v>
      </c>
      <c r="R158" s="72">
        <f t="shared" si="6"/>
        <v>0</v>
      </c>
      <c r="S158" s="72">
        <f t="shared" si="7"/>
        <v>2</v>
      </c>
      <c r="T158" s="72">
        <f t="shared" si="8"/>
        <v>0</v>
      </c>
      <c r="U158" s="72">
        <f t="shared" si="9"/>
        <v>0</v>
      </c>
    </row>
    <row r="159" ht="15.0" customHeight="1">
      <c r="A159" s="29" t="s">
        <v>93</v>
      </c>
      <c r="B159" s="69" t="s">
        <v>133</v>
      </c>
      <c r="C159" s="70">
        <f>Avaliacao_Humana!H29</f>
        <v>1</v>
      </c>
      <c r="D159" s="70">
        <f>ChatGPT_ZeroShot!H29</f>
        <v>0</v>
      </c>
      <c r="E159" s="70">
        <f>ChatGPT_FewShot!H29</f>
        <v>0</v>
      </c>
      <c r="F159" s="70">
        <f>ChatGPT_CoT!H29</f>
        <v>0</v>
      </c>
      <c r="G159" s="70">
        <f>Gemini_ZeroShot!H29</f>
        <v>0</v>
      </c>
      <c r="H159" s="70">
        <f>Gemini_FewShot!H29</f>
        <v>0</v>
      </c>
      <c r="I159" s="70">
        <f>Gemini_CoT!H29</f>
        <v>0</v>
      </c>
      <c r="J159" s="70">
        <f>Claude_ZeroShot!H29</f>
        <v>0</v>
      </c>
      <c r="K159" s="70">
        <f>Claude_FewShot!H29</f>
        <v>0</v>
      </c>
      <c r="L159" s="70">
        <f>Claude_CoT!H29</f>
        <v>0</v>
      </c>
      <c r="M159" s="70">
        <f t="shared" si="1"/>
        <v>1</v>
      </c>
      <c r="N159" s="70">
        <f t="shared" si="2"/>
        <v>1</v>
      </c>
      <c r="O159" s="70">
        <f t="shared" si="3"/>
        <v>1</v>
      </c>
      <c r="P159" s="70">
        <f t="shared" si="4"/>
        <v>1</v>
      </c>
      <c r="Q159" s="70">
        <f t="shared" si="5"/>
        <v>1</v>
      </c>
      <c r="R159" s="70">
        <f t="shared" si="6"/>
        <v>1</v>
      </c>
      <c r="S159" s="70">
        <f t="shared" si="7"/>
        <v>1</v>
      </c>
      <c r="T159" s="70">
        <f t="shared" si="8"/>
        <v>1</v>
      </c>
      <c r="U159" s="70">
        <f t="shared" si="9"/>
        <v>1</v>
      </c>
    </row>
    <row r="160" ht="15.0" customHeight="1">
      <c r="A160" s="12" t="s">
        <v>93</v>
      </c>
      <c r="B160" s="71" t="s">
        <v>134</v>
      </c>
      <c r="C160" s="72">
        <f>Avaliacao_Humana!N29</f>
        <v>0</v>
      </c>
      <c r="D160" s="72">
        <f>ChatGPT_ZeroShot!N29</f>
        <v>2</v>
      </c>
      <c r="E160" s="72">
        <f>ChatGPT_FewShot!N29</f>
        <v>0</v>
      </c>
      <c r="F160" s="72">
        <f>ChatGPT_CoT!N29</f>
        <v>0</v>
      </c>
      <c r="G160" s="72">
        <f>Gemini_ZeroShot!N29</f>
        <v>0</v>
      </c>
      <c r="H160" s="72">
        <f>Gemini_FewShot!N29</f>
        <v>0</v>
      </c>
      <c r="I160" s="72">
        <f>Gemini_CoT!N29</f>
        <v>0</v>
      </c>
      <c r="J160" s="72">
        <f>Claude_ZeroShot!N29</f>
        <v>0</v>
      </c>
      <c r="K160" s="72">
        <f>Claude_FewShot!N29</f>
        <v>0</v>
      </c>
      <c r="L160" s="72">
        <f>Claude_CoT!N29</f>
        <v>0</v>
      </c>
      <c r="M160" s="72">
        <f t="shared" si="1"/>
        <v>2</v>
      </c>
      <c r="N160" s="72">
        <f t="shared" si="2"/>
        <v>0</v>
      </c>
      <c r="O160" s="72">
        <f t="shared" si="3"/>
        <v>0</v>
      </c>
      <c r="P160" s="72">
        <f t="shared" si="4"/>
        <v>0</v>
      </c>
      <c r="Q160" s="72">
        <f t="shared" si="5"/>
        <v>0</v>
      </c>
      <c r="R160" s="72">
        <f t="shared" si="6"/>
        <v>0</v>
      </c>
      <c r="S160" s="72">
        <f t="shared" si="7"/>
        <v>0</v>
      </c>
      <c r="T160" s="72">
        <f t="shared" si="8"/>
        <v>0</v>
      </c>
      <c r="U160" s="72">
        <f t="shared" si="9"/>
        <v>0</v>
      </c>
    </row>
    <row r="161" ht="15.0" customHeight="1">
      <c r="A161" s="29" t="s">
        <v>93</v>
      </c>
      <c r="B161" s="73" t="s">
        <v>135</v>
      </c>
      <c r="C161" s="70">
        <f>Avaliacao_Humana!T29</f>
        <v>0</v>
      </c>
      <c r="D161" s="70">
        <f>ChatGPT_ZeroShot!T29</f>
        <v>0</v>
      </c>
      <c r="E161" s="70">
        <f>ChatGPT_FewShot!T29</f>
        <v>0</v>
      </c>
      <c r="F161" s="70">
        <f>ChatGPT_CoT!T29</f>
        <v>0</v>
      </c>
      <c r="G161" s="70">
        <f>Gemini_ZeroShot!T29</f>
        <v>0</v>
      </c>
      <c r="H161" s="70">
        <f>Gemini_FewShot!T29</f>
        <v>0</v>
      </c>
      <c r="I161" s="70">
        <f>Gemini_CoT!T29</f>
        <v>0</v>
      </c>
      <c r="J161" s="70">
        <f>Claude_ZeroShot!T29</f>
        <v>0</v>
      </c>
      <c r="K161" s="70">
        <f>Claude_FewShot!T29</f>
        <v>0</v>
      </c>
      <c r="L161" s="70">
        <f>Claude_CoT!T29</f>
        <v>0</v>
      </c>
      <c r="M161" s="70">
        <f t="shared" si="1"/>
        <v>0</v>
      </c>
      <c r="N161" s="70">
        <f t="shared" si="2"/>
        <v>0</v>
      </c>
      <c r="O161" s="70">
        <f t="shared" si="3"/>
        <v>0</v>
      </c>
      <c r="P161" s="70">
        <f t="shared" si="4"/>
        <v>0</v>
      </c>
      <c r="Q161" s="70">
        <f t="shared" si="5"/>
        <v>0</v>
      </c>
      <c r="R161" s="70">
        <f t="shared" si="6"/>
        <v>0</v>
      </c>
      <c r="S161" s="70">
        <f t="shared" si="7"/>
        <v>0</v>
      </c>
      <c r="T161" s="70">
        <f t="shared" si="8"/>
        <v>0</v>
      </c>
      <c r="U161" s="70">
        <f t="shared" si="9"/>
        <v>0</v>
      </c>
    </row>
    <row r="162" ht="15.0" customHeight="1">
      <c r="A162" s="12" t="s">
        <v>93</v>
      </c>
      <c r="B162" s="74" t="s">
        <v>136</v>
      </c>
      <c r="C162" s="72">
        <f>Avaliacao_Humana!Z29</f>
        <v>1</v>
      </c>
      <c r="D162" s="72">
        <f>ChatGPT_ZeroShot!Z29</f>
        <v>0</v>
      </c>
      <c r="E162" s="72">
        <f>ChatGPT_FewShot!Z29</f>
        <v>0</v>
      </c>
      <c r="F162" s="72">
        <f>ChatGPT_CoT!Z29</f>
        <v>0</v>
      </c>
      <c r="G162" s="72">
        <f>Gemini_ZeroShot!Z29</f>
        <v>0</v>
      </c>
      <c r="H162" s="72">
        <f>Gemini_FewShot!Z29</f>
        <v>0</v>
      </c>
      <c r="I162" s="72">
        <f>Gemini_CoT!Z29</f>
        <v>0</v>
      </c>
      <c r="J162" s="72">
        <f>Claude_ZeroShot!Z29</f>
        <v>1</v>
      </c>
      <c r="K162" s="72">
        <f>Claude_FewShot!Z29</f>
        <v>0</v>
      </c>
      <c r="L162" s="72">
        <f>Claude_CoT!Z29</f>
        <v>0</v>
      </c>
      <c r="M162" s="72">
        <f t="shared" si="1"/>
        <v>1</v>
      </c>
      <c r="N162" s="72">
        <f t="shared" si="2"/>
        <v>1</v>
      </c>
      <c r="O162" s="72">
        <f t="shared" si="3"/>
        <v>1</v>
      </c>
      <c r="P162" s="72">
        <f t="shared" si="4"/>
        <v>1</v>
      </c>
      <c r="Q162" s="72">
        <f t="shared" si="5"/>
        <v>1</v>
      </c>
      <c r="R162" s="72">
        <f t="shared" si="6"/>
        <v>1</v>
      </c>
      <c r="S162" s="72">
        <f t="shared" si="7"/>
        <v>0</v>
      </c>
      <c r="T162" s="72">
        <f t="shared" si="8"/>
        <v>1</v>
      </c>
      <c r="U162" s="72">
        <f t="shared" si="9"/>
        <v>1</v>
      </c>
    </row>
    <row r="163" ht="15.0" customHeight="1">
      <c r="A163" s="29" t="s">
        <v>93</v>
      </c>
      <c r="B163" s="75" t="s">
        <v>137</v>
      </c>
      <c r="C163" s="70">
        <f>Avaliacao_Humana!AF29</f>
        <v>0</v>
      </c>
      <c r="D163" s="70">
        <f>ChatGPT_ZeroShot!AF29</f>
        <v>0</v>
      </c>
      <c r="E163" s="70">
        <f>ChatGPT_FewShot!AF29</f>
        <v>0</v>
      </c>
      <c r="F163" s="70">
        <f>ChatGPT_CoT!AF29</f>
        <v>0</v>
      </c>
      <c r="G163" s="70">
        <f>Gemini_ZeroShot!AF29</f>
        <v>0</v>
      </c>
      <c r="H163" s="70">
        <f>Gemini_FewShot!AF29</f>
        <v>0</v>
      </c>
      <c r="I163" s="70">
        <f>Gemini_CoT!AF29</f>
        <v>0</v>
      </c>
      <c r="J163" s="70">
        <f>Claude_ZeroShot!AF29</f>
        <v>0</v>
      </c>
      <c r="K163" s="70">
        <f>Claude_FewShot!AF29</f>
        <v>0</v>
      </c>
      <c r="L163" s="70">
        <f>Claude_CoT!AF29</f>
        <v>0</v>
      </c>
      <c r="M163" s="70">
        <f t="shared" si="1"/>
        <v>0</v>
      </c>
      <c r="N163" s="70">
        <f t="shared" si="2"/>
        <v>0</v>
      </c>
      <c r="O163" s="70">
        <f t="shared" si="3"/>
        <v>0</v>
      </c>
      <c r="P163" s="70">
        <f t="shared" si="4"/>
        <v>0</v>
      </c>
      <c r="Q163" s="70">
        <f t="shared" si="5"/>
        <v>0</v>
      </c>
      <c r="R163" s="70">
        <f t="shared" si="6"/>
        <v>0</v>
      </c>
      <c r="S163" s="70">
        <f t="shared" si="7"/>
        <v>0</v>
      </c>
      <c r="T163" s="70">
        <f t="shared" si="8"/>
        <v>0</v>
      </c>
      <c r="U163" s="70">
        <f t="shared" si="9"/>
        <v>0</v>
      </c>
    </row>
    <row r="164" ht="15.0" customHeight="1">
      <c r="A164" s="12" t="s">
        <v>93</v>
      </c>
      <c r="B164" s="76" t="s">
        <v>138</v>
      </c>
      <c r="C164" s="72">
        <f>Avaliacao_Humana!AL29</f>
        <v>2</v>
      </c>
      <c r="D164" s="72">
        <f>ChatGPT_ZeroShot!AL29</f>
        <v>4</v>
      </c>
      <c r="E164" s="72">
        <f>ChatGPT_FewShot!AL29</f>
        <v>1</v>
      </c>
      <c r="F164" s="72">
        <f>ChatGPT_CoT!AL29</f>
        <v>4</v>
      </c>
      <c r="G164" s="72">
        <f>Gemini_ZeroShot!AL29</f>
        <v>0</v>
      </c>
      <c r="H164" s="72">
        <f>Gemini_FewShot!AL29</f>
        <v>4</v>
      </c>
      <c r="I164" s="72">
        <f>Gemini_CoT!AL29</f>
        <v>0</v>
      </c>
      <c r="J164" s="72">
        <f>Claude_ZeroShot!AL29</f>
        <v>4</v>
      </c>
      <c r="K164" s="72">
        <f>Claude_FewShot!AL29</f>
        <v>0</v>
      </c>
      <c r="L164" s="72">
        <f>Claude_CoT!AL29</f>
        <v>1</v>
      </c>
      <c r="M164" s="72">
        <f t="shared" si="1"/>
        <v>2</v>
      </c>
      <c r="N164" s="72">
        <f t="shared" si="2"/>
        <v>1</v>
      </c>
      <c r="O164" s="72">
        <f t="shared" si="3"/>
        <v>2</v>
      </c>
      <c r="P164" s="72">
        <f t="shared" si="4"/>
        <v>2</v>
      </c>
      <c r="Q164" s="72">
        <f t="shared" si="5"/>
        <v>2</v>
      </c>
      <c r="R164" s="72">
        <f t="shared" si="6"/>
        <v>2</v>
      </c>
      <c r="S164" s="72">
        <f t="shared" si="7"/>
        <v>2</v>
      </c>
      <c r="T164" s="72">
        <f t="shared" si="8"/>
        <v>2</v>
      </c>
      <c r="U164" s="72">
        <f t="shared" si="9"/>
        <v>1</v>
      </c>
    </row>
    <row r="165" ht="15.0" customHeight="1">
      <c r="A165" s="29" t="s">
        <v>95</v>
      </c>
      <c r="B165" s="69" t="s">
        <v>133</v>
      </c>
      <c r="C165" s="70">
        <f>Avaliacao_Humana!H30</f>
        <v>0</v>
      </c>
      <c r="D165" s="70">
        <f>ChatGPT_ZeroShot!H30</f>
        <v>0</v>
      </c>
      <c r="E165" s="70">
        <f>ChatGPT_FewShot!H30</f>
        <v>0</v>
      </c>
      <c r="F165" s="70">
        <f>ChatGPT_CoT!H30</f>
        <v>0</v>
      </c>
      <c r="G165" s="70">
        <f>Gemini_ZeroShot!H30</f>
        <v>0</v>
      </c>
      <c r="H165" s="70">
        <f>Gemini_FewShot!H30</f>
        <v>0</v>
      </c>
      <c r="I165" s="70">
        <f>Gemini_CoT!H30</f>
        <v>0</v>
      </c>
      <c r="J165" s="70">
        <f>Claude_ZeroShot!H30</f>
        <v>0</v>
      </c>
      <c r="K165" s="70">
        <f>Claude_FewShot!H30</f>
        <v>0</v>
      </c>
      <c r="L165" s="70">
        <f>Claude_CoT!H30</f>
        <v>0</v>
      </c>
      <c r="M165" s="70">
        <f t="shared" si="1"/>
        <v>0</v>
      </c>
      <c r="N165" s="70">
        <f t="shared" si="2"/>
        <v>0</v>
      </c>
      <c r="O165" s="70">
        <f t="shared" si="3"/>
        <v>0</v>
      </c>
      <c r="P165" s="70">
        <f t="shared" si="4"/>
        <v>0</v>
      </c>
      <c r="Q165" s="70">
        <f t="shared" si="5"/>
        <v>0</v>
      </c>
      <c r="R165" s="70">
        <f t="shared" si="6"/>
        <v>0</v>
      </c>
      <c r="S165" s="70">
        <f t="shared" si="7"/>
        <v>0</v>
      </c>
      <c r="T165" s="70">
        <f t="shared" si="8"/>
        <v>0</v>
      </c>
      <c r="U165" s="70">
        <f t="shared" si="9"/>
        <v>0</v>
      </c>
    </row>
    <row r="166" ht="15.0" customHeight="1">
      <c r="A166" s="12" t="s">
        <v>95</v>
      </c>
      <c r="B166" s="71" t="s">
        <v>134</v>
      </c>
      <c r="C166" s="72">
        <f>Avaliacao_Humana!N30</f>
        <v>1</v>
      </c>
      <c r="D166" s="72">
        <f>ChatGPT_ZeroShot!N30</f>
        <v>1</v>
      </c>
      <c r="E166" s="72">
        <f>ChatGPT_FewShot!N30</f>
        <v>0</v>
      </c>
      <c r="F166" s="72">
        <f>ChatGPT_CoT!N30</f>
        <v>0</v>
      </c>
      <c r="G166" s="72">
        <f>Gemini_ZeroShot!N30</f>
        <v>0</v>
      </c>
      <c r="H166" s="72">
        <f>Gemini_FewShot!N30</f>
        <v>0</v>
      </c>
      <c r="I166" s="72">
        <f>Gemini_CoT!N30</f>
        <v>0</v>
      </c>
      <c r="J166" s="72">
        <f>Claude_ZeroShot!N30</f>
        <v>0</v>
      </c>
      <c r="K166" s="72">
        <f>Claude_FewShot!N30</f>
        <v>0</v>
      </c>
      <c r="L166" s="72">
        <f>Claude_CoT!N30</f>
        <v>0</v>
      </c>
      <c r="M166" s="72">
        <f t="shared" si="1"/>
        <v>0</v>
      </c>
      <c r="N166" s="72">
        <f t="shared" si="2"/>
        <v>1</v>
      </c>
      <c r="O166" s="72">
        <f t="shared" si="3"/>
        <v>1</v>
      </c>
      <c r="P166" s="72">
        <f t="shared" si="4"/>
        <v>1</v>
      </c>
      <c r="Q166" s="72">
        <f t="shared" si="5"/>
        <v>1</v>
      </c>
      <c r="R166" s="72">
        <f t="shared" si="6"/>
        <v>1</v>
      </c>
      <c r="S166" s="72">
        <f t="shared" si="7"/>
        <v>1</v>
      </c>
      <c r="T166" s="72">
        <f t="shared" si="8"/>
        <v>1</v>
      </c>
      <c r="U166" s="72">
        <f t="shared" si="9"/>
        <v>1</v>
      </c>
    </row>
    <row r="167" ht="15.0" customHeight="1">
      <c r="A167" s="29" t="s">
        <v>95</v>
      </c>
      <c r="B167" s="73" t="s">
        <v>135</v>
      </c>
      <c r="C167" s="70">
        <f>Avaliacao_Humana!T30</f>
        <v>1</v>
      </c>
      <c r="D167" s="70">
        <f>ChatGPT_ZeroShot!T30</f>
        <v>1</v>
      </c>
      <c r="E167" s="70">
        <f>ChatGPT_FewShot!T30</f>
        <v>1</v>
      </c>
      <c r="F167" s="70">
        <f>ChatGPT_CoT!T30</f>
        <v>1</v>
      </c>
      <c r="G167" s="70">
        <f>Gemini_ZeroShot!T30</f>
        <v>1</v>
      </c>
      <c r="H167" s="70">
        <f>Gemini_FewShot!T30</f>
        <v>1</v>
      </c>
      <c r="I167" s="70">
        <f>Gemini_CoT!T30</f>
        <v>1</v>
      </c>
      <c r="J167" s="70">
        <f>Claude_ZeroShot!T30</f>
        <v>1</v>
      </c>
      <c r="K167" s="70">
        <f>Claude_FewShot!T30</f>
        <v>1</v>
      </c>
      <c r="L167" s="70">
        <f>Claude_CoT!T30</f>
        <v>1</v>
      </c>
      <c r="M167" s="70">
        <f t="shared" si="1"/>
        <v>0</v>
      </c>
      <c r="N167" s="70">
        <f t="shared" si="2"/>
        <v>0</v>
      </c>
      <c r="O167" s="70">
        <f t="shared" si="3"/>
        <v>0</v>
      </c>
      <c r="P167" s="70">
        <f t="shared" si="4"/>
        <v>0</v>
      </c>
      <c r="Q167" s="70">
        <f t="shared" si="5"/>
        <v>0</v>
      </c>
      <c r="R167" s="70">
        <f t="shared" si="6"/>
        <v>0</v>
      </c>
      <c r="S167" s="70">
        <f t="shared" si="7"/>
        <v>0</v>
      </c>
      <c r="T167" s="70">
        <f t="shared" si="8"/>
        <v>0</v>
      </c>
      <c r="U167" s="70">
        <f t="shared" si="9"/>
        <v>0</v>
      </c>
    </row>
    <row r="168" ht="15.0" customHeight="1">
      <c r="A168" s="12" t="s">
        <v>95</v>
      </c>
      <c r="B168" s="74" t="s">
        <v>136</v>
      </c>
      <c r="C168" s="72">
        <f>Avaliacao_Humana!Z30</f>
        <v>0</v>
      </c>
      <c r="D168" s="72">
        <f>ChatGPT_ZeroShot!Z30</f>
        <v>0</v>
      </c>
      <c r="E168" s="72">
        <f>ChatGPT_FewShot!Z30</f>
        <v>0</v>
      </c>
      <c r="F168" s="72">
        <f>ChatGPT_CoT!Z30</f>
        <v>0</v>
      </c>
      <c r="G168" s="72">
        <f>Gemini_ZeroShot!Z30</f>
        <v>0</v>
      </c>
      <c r="H168" s="72">
        <f>Gemini_FewShot!Z30</f>
        <v>1</v>
      </c>
      <c r="I168" s="72">
        <f>Gemini_CoT!Z30</f>
        <v>0</v>
      </c>
      <c r="J168" s="72">
        <f>Claude_ZeroShot!Z30</f>
        <v>2</v>
      </c>
      <c r="K168" s="72">
        <f>Claude_FewShot!Z30</f>
        <v>0</v>
      </c>
      <c r="L168" s="72">
        <f>Claude_CoT!Z30</f>
        <v>1</v>
      </c>
      <c r="M168" s="72">
        <f t="shared" si="1"/>
        <v>0</v>
      </c>
      <c r="N168" s="72">
        <f t="shared" si="2"/>
        <v>0</v>
      </c>
      <c r="O168" s="72">
        <f t="shared" si="3"/>
        <v>0</v>
      </c>
      <c r="P168" s="72">
        <f t="shared" si="4"/>
        <v>0</v>
      </c>
      <c r="Q168" s="72">
        <f t="shared" si="5"/>
        <v>1</v>
      </c>
      <c r="R168" s="72">
        <f t="shared" si="6"/>
        <v>0</v>
      </c>
      <c r="S168" s="72">
        <f t="shared" si="7"/>
        <v>2</v>
      </c>
      <c r="T168" s="72">
        <f t="shared" si="8"/>
        <v>0</v>
      </c>
      <c r="U168" s="72">
        <f t="shared" si="9"/>
        <v>1</v>
      </c>
    </row>
    <row r="169" ht="15.0" customHeight="1">
      <c r="A169" s="29" t="s">
        <v>95</v>
      </c>
      <c r="B169" s="75" t="s">
        <v>137</v>
      </c>
      <c r="C169" s="70">
        <f>Avaliacao_Humana!AF30</f>
        <v>0</v>
      </c>
      <c r="D169" s="70">
        <f>ChatGPT_ZeroShot!AF30</f>
        <v>0</v>
      </c>
      <c r="E169" s="70">
        <f>ChatGPT_FewShot!AF30</f>
        <v>0</v>
      </c>
      <c r="F169" s="70">
        <f>ChatGPT_CoT!AF30</f>
        <v>0</v>
      </c>
      <c r="G169" s="70">
        <f>Gemini_ZeroShot!AF30</f>
        <v>0</v>
      </c>
      <c r="H169" s="70">
        <f>Gemini_FewShot!AF30</f>
        <v>0</v>
      </c>
      <c r="I169" s="70">
        <f>Gemini_CoT!AF30</f>
        <v>0</v>
      </c>
      <c r="J169" s="70">
        <f>Claude_ZeroShot!AF30</f>
        <v>0</v>
      </c>
      <c r="K169" s="70">
        <f>Claude_FewShot!AF30</f>
        <v>0</v>
      </c>
      <c r="L169" s="70">
        <f>Claude_CoT!AF30</f>
        <v>0</v>
      </c>
      <c r="M169" s="70">
        <f t="shared" si="1"/>
        <v>0</v>
      </c>
      <c r="N169" s="70">
        <f t="shared" si="2"/>
        <v>0</v>
      </c>
      <c r="O169" s="70">
        <f t="shared" si="3"/>
        <v>0</v>
      </c>
      <c r="P169" s="70">
        <f t="shared" si="4"/>
        <v>0</v>
      </c>
      <c r="Q169" s="70">
        <f t="shared" si="5"/>
        <v>0</v>
      </c>
      <c r="R169" s="70">
        <f t="shared" si="6"/>
        <v>0</v>
      </c>
      <c r="S169" s="70">
        <f t="shared" si="7"/>
        <v>0</v>
      </c>
      <c r="T169" s="70">
        <f t="shared" si="8"/>
        <v>0</v>
      </c>
      <c r="U169" s="70">
        <f t="shared" si="9"/>
        <v>0</v>
      </c>
    </row>
    <row r="170" ht="15.0" customHeight="1">
      <c r="A170" s="12" t="s">
        <v>95</v>
      </c>
      <c r="B170" s="76" t="s">
        <v>138</v>
      </c>
      <c r="C170" s="72">
        <f>Avaliacao_Humana!AL30</f>
        <v>2</v>
      </c>
      <c r="D170" s="72">
        <f>ChatGPT_ZeroShot!AL30</f>
        <v>5</v>
      </c>
      <c r="E170" s="72">
        <f>ChatGPT_FewShot!AL30</f>
        <v>2</v>
      </c>
      <c r="F170" s="72">
        <f>ChatGPT_CoT!AL30</f>
        <v>5</v>
      </c>
      <c r="G170" s="72">
        <f>Gemini_ZeroShot!AL30</f>
        <v>0</v>
      </c>
      <c r="H170" s="72">
        <f>Gemini_FewShot!AL30</f>
        <v>5</v>
      </c>
      <c r="I170" s="72">
        <f>Gemini_CoT!AL30</f>
        <v>0</v>
      </c>
      <c r="J170" s="72">
        <f>Claude_ZeroShot!AL30</f>
        <v>2</v>
      </c>
      <c r="K170" s="72">
        <f>Claude_FewShot!AL30</f>
        <v>1</v>
      </c>
      <c r="L170" s="72">
        <f>Claude_CoT!AL30</f>
        <v>1</v>
      </c>
      <c r="M170" s="72">
        <f t="shared" si="1"/>
        <v>3</v>
      </c>
      <c r="N170" s="72">
        <f t="shared" si="2"/>
        <v>0</v>
      </c>
      <c r="O170" s="72">
        <f t="shared" si="3"/>
        <v>3</v>
      </c>
      <c r="P170" s="72">
        <f t="shared" si="4"/>
        <v>2</v>
      </c>
      <c r="Q170" s="72">
        <f t="shared" si="5"/>
        <v>3</v>
      </c>
      <c r="R170" s="72">
        <f t="shared" si="6"/>
        <v>2</v>
      </c>
      <c r="S170" s="72">
        <f t="shared" si="7"/>
        <v>0</v>
      </c>
      <c r="T170" s="72">
        <f t="shared" si="8"/>
        <v>1</v>
      </c>
      <c r="U170" s="72">
        <f t="shared" si="9"/>
        <v>1</v>
      </c>
    </row>
    <row r="171" ht="15.0" customHeight="1">
      <c r="A171" s="29" t="s">
        <v>97</v>
      </c>
      <c r="B171" s="69" t="s">
        <v>133</v>
      </c>
      <c r="C171" s="70">
        <f>Avaliacao_Humana!H31</f>
        <v>0</v>
      </c>
      <c r="D171" s="70">
        <f>ChatGPT_ZeroShot!H31</f>
        <v>0</v>
      </c>
      <c r="E171" s="70">
        <f>ChatGPT_FewShot!H31</f>
        <v>0</v>
      </c>
      <c r="F171" s="70">
        <f>ChatGPT_CoT!H31</f>
        <v>0</v>
      </c>
      <c r="G171" s="70">
        <f>Gemini_ZeroShot!H31</f>
        <v>0</v>
      </c>
      <c r="H171" s="70">
        <f>Gemini_FewShot!H31</f>
        <v>0</v>
      </c>
      <c r="I171" s="70">
        <f>Gemini_CoT!H31</f>
        <v>0</v>
      </c>
      <c r="J171" s="70">
        <f>Claude_ZeroShot!H31</f>
        <v>0</v>
      </c>
      <c r="K171" s="70">
        <f>Claude_FewShot!H31</f>
        <v>0</v>
      </c>
      <c r="L171" s="70">
        <f>Claude_CoT!H31</f>
        <v>0</v>
      </c>
      <c r="M171" s="70">
        <f t="shared" si="1"/>
        <v>0</v>
      </c>
      <c r="N171" s="70">
        <f t="shared" si="2"/>
        <v>0</v>
      </c>
      <c r="O171" s="70">
        <f t="shared" si="3"/>
        <v>0</v>
      </c>
      <c r="P171" s="70">
        <f t="shared" si="4"/>
        <v>0</v>
      </c>
      <c r="Q171" s="70">
        <f t="shared" si="5"/>
        <v>0</v>
      </c>
      <c r="R171" s="70">
        <f t="shared" si="6"/>
        <v>0</v>
      </c>
      <c r="S171" s="70">
        <f t="shared" si="7"/>
        <v>0</v>
      </c>
      <c r="T171" s="70">
        <f t="shared" si="8"/>
        <v>0</v>
      </c>
      <c r="U171" s="70">
        <f t="shared" si="9"/>
        <v>0</v>
      </c>
    </row>
    <row r="172" ht="15.0" customHeight="1">
      <c r="A172" s="12" t="s">
        <v>97</v>
      </c>
      <c r="B172" s="71" t="s">
        <v>134</v>
      </c>
      <c r="C172" s="72">
        <f>Avaliacao_Humana!N31</f>
        <v>1</v>
      </c>
      <c r="D172" s="72">
        <f>ChatGPT_ZeroShot!N31</f>
        <v>1</v>
      </c>
      <c r="E172" s="72">
        <f>ChatGPT_FewShot!N31</f>
        <v>1</v>
      </c>
      <c r="F172" s="72">
        <f>ChatGPT_CoT!N31</f>
        <v>1</v>
      </c>
      <c r="G172" s="72">
        <f>Gemini_ZeroShot!N31</f>
        <v>1</v>
      </c>
      <c r="H172" s="72">
        <f>Gemini_FewShot!N31</f>
        <v>1</v>
      </c>
      <c r="I172" s="72">
        <f>Gemini_CoT!N31</f>
        <v>1</v>
      </c>
      <c r="J172" s="72">
        <f>Claude_ZeroShot!N31</f>
        <v>1</v>
      </c>
      <c r="K172" s="72">
        <f>Claude_FewShot!N31</f>
        <v>1</v>
      </c>
      <c r="L172" s="72">
        <f>Claude_CoT!N31</f>
        <v>1</v>
      </c>
      <c r="M172" s="72">
        <f t="shared" si="1"/>
        <v>0</v>
      </c>
      <c r="N172" s="72">
        <f t="shared" si="2"/>
        <v>0</v>
      </c>
      <c r="O172" s="72">
        <f t="shared" si="3"/>
        <v>0</v>
      </c>
      <c r="P172" s="72">
        <f t="shared" si="4"/>
        <v>0</v>
      </c>
      <c r="Q172" s="72">
        <f t="shared" si="5"/>
        <v>0</v>
      </c>
      <c r="R172" s="72">
        <f t="shared" si="6"/>
        <v>0</v>
      </c>
      <c r="S172" s="72">
        <f t="shared" si="7"/>
        <v>0</v>
      </c>
      <c r="T172" s="72">
        <f t="shared" si="8"/>
        <v>0</v>
      </c>
      <c r="U172" s="72">
        <f t="shared" si="9"/>
        <v>0</v>
      </c>
    </row>
    <row r="173" ht="15.0" customHeight="1">
      <c r="A173" s="29" t="s">
        <v>97</v>
      </c>
      <c r="B173" s="73" t="s">
        <v>135</v>
      </c>
      <c r="C173" s="70">
        <f>Avaliacao_Humana!T31</f>
        <v>2</v>
      </c>
      <c r="D173" s="70">
        <f>ChatGPT_ZeroShot!T31</f>
        <v>2</v>
      </c>
      <c r="E173" s="70">
        <f>ChatGPT_FewShot!T31</f>
        <v>1</v>
      </c>
      <c r="F173" s="70">
        <f>ChatGPT_CoT!T31</f>
        <v>1</v>
      </c>
      <c r="G173" s="70">
        <f>Gemini_ZeroShot!T31</f>
        <v>1</v>
      </c>
      <c r="H173" s="70">
        <f>Gemini_FewShot!T31</f>
        <v>1</v>
      </c>
      <c r="I173" s="70">
        <f>Gemini_CoT!T31</f>
        <v>1</v>
      </c>
      <c r="J173" s="70">
        <f>Claude_ZeroShot!T31</f>
        <v>1</v>
      </c>
      <c r="K173" s="70">
        <f>Claude_FewShot!T31</f>
        <v>1</v>
      </c>
      <c r="L173" s="70">
        <f>Claude_CoT!T31</f>
        <v>1</v>
      </c>
      <c r="M173" s="70">
        <f t="shared" si="1"/>
        <v>0</v>
      </c>
      <c r="N173" s="70">
        <f t="shared" si="2"/>
        <v>1</v>
      </c>
      <c r="O173" s="70">
        <f t="shared" si="3"/>
        <v>1</v>
      </c>
      <c r="P173" s="70">
        <f t="shared" si="4"/>
        <v>1</v>
      </c>
      <c r="Q173" s="70">
        <f t="shared" si="5"/>
        <v>1</v>
      </c>
      <c r="R173" s="70">
        <f t="shared" si="6"/>
        <v>1</v>
      </c>
      <c r="S173" s="70">
        <f t="shared" si="7"/>
        <v>1</v>
      </c>
      <c r="T173" s="70">
        <f t="shared" si="8"/>
        <v>1</v>
      </c>
      <c r="U173" s="70">
        <f t="shared" si="9"/>
        <v>1</v>
      </c>
    </row>
    <row r="174" ht="15.0" customHeight="1">
      <c r="A174" s="12" t="s">
        <v>97</v>
      </c>
      <c r="B174" s="74" t="s">
        <v>136</v>
      </c>
      <c r="C174" s="72">
        <f>Avaliacao_Humana!Z31</f>
        <v>1</v>
      </c>
      <c r="D174" s="72">
        <f>ChatGPT_ZeroShot!Z31</f>
        <v>0</v>
      </c>
      <c r="E174" s="72">
        <f>ChatGPT_FewShot!Z31</f>
        <v>0</v>
      </c>
      <c r="F174" s="72">
        <f>ChatGPT_CoT!Z31</f>
        <v>0</v>
      </c>
      <c r="G174" s="72">
        <f>Gemini_ZeroShot!Z31</f>
        <v>0</v>
      </c>
      <c r="H174" s="72">
        <f>Gemini_FewShot!Z31</f>
        <v>2</v>
      </c>
      <c r="I174" s="72">
        <f>Gemini_CoT!Z31</f>
        <v>0</v>
      </c>
      <c r="J174" s="72">
        <f>Claude_ZeroShot!Z31</f>
        <v>1</v>
      </c>
      <c r="K174" s="72">
        <f>Claude_FewShot!Z31</f>
        <v>0</v>
      </c>
      <c r="L174" s="72">
        <f>Claude_CoT!Z31</f>
        <v>0</v>
      </c>
      <c r="M174" s="72">
        <f t="shared" si="1"/>
        <v>1</v>
      </c>
      <c r="N174" s="72">
        <f t="shared" si="2"/>
        <v>1</v>
      </c>
      <c r="O174" s="72">
        <f t="shared" si="3"/>
        <v>1</v>
      </c>
      <c r="P174" s="72">
        <f t="shared" si="4"/>
        <v>1</v>
      </c>
      <c r="Q174" s="72">
        <f t="shared" si="5"/>
        <v>1</v>
      </c>
      <c r="R174" s="72">
        <f t="shared" si="6"/>
        <v>1</v>
      </c>
      <c r="S174" s="72">
        <f t="shared" si="7"/>
        <v>0</v>
      </c>
      <c r="T174" s="72">
        <f t="shared" si="8"/>
        <v>1</v>
      </c>
      <c r="U174" s="72">
        <f t="shared" si="9"/>
        <v>1</v>
      </c>
    </row>
    <row r="175" ht="15.0" customHeight="1">
      <c r="A175" s="29" t="s">
        <v>97</v>
      </c>
      <c r="B175" s="75" t="s">
        <v>137</v>
      </c>
      <c r="C175" s="70">
        <f>Avaliacao_Humana!AF31</f>
        <v>0</v>
      </c>
      <c r="D175" s="70">
        <f>ChatGPT_ZeroShot!AF31</f>
        <v>0</v>
      </c>
      <c r="E175" s="70">
        <f>ChatGPT_FewShot!AF31</f>
        <v>0</v>
      </c>
      <c r="F175" s="70">
        <f>ChatGPT_CoT!AF31</f>
        <v>0</v>
      </c>
      <c r="G175" s="70">
        <f>Gemini_ZeroShot!AF31</f>
        <v>0</v>
      </c>
      <c r="H175" s="70">
        <f>Gemini_FewShot!AF31</f>
        <v>0</v>
      </c>
      <c r="I175" s="70">
        <f>Gemini_CoT!AF31</f>
        <v>0</v>
      </c>
      <c r="J175" s="70">
        <f>Claude_ZeroShot!AF31</f>
        <v>0</v>
      </c>
      <c r="K175" s="70">
        <f>Claude_FewShot!AF31</f>
        <v>0</v>
      </c>
      <c r="L175" s="70">
        <f>Claude_CoT!AF31</f>
        <v>0</v>
      </c>
      <c r="M175" s="70">
        <f t="shared" si="1"/>
        <v>0</v>
      </c>
      <c r="N175" s="70">
        <f t="shared" si="2"/>
        <v>0</v>
      </c>
      <c r="O175" s="70">
        <f t="shared" si="3"/>
        <v>0</v>
      </c>
      <c r="P175" s="70">
        <f t="shared" si="4"/>
        <v>0</v>
      </c>
      <c r="Q175" s="70">
        <f t="shared" si="5"/>
        <v>0</v>
      </c>
      <c r="R175" s="70">
        <f t="shared" si="6"/>
        <v>0</v>
      </c>
      <c r="S175" s="70">
        <f t="shared" si="7"/>
        <v>0</v>
      </c>
      <c r="T175" s="70">
        <f t="shared" si="8"/>
        <v>0</v>
      </c>
      <c r="U175" s="70">
        <f t="shared" si="9"/>
        <v>0</v>
      </c>
    </row>
    <row r="176" ht="15.0" customHeight="1">
      <c r="A176" s="12" t="s">
        <v>97</v>
      </c>
      <c r="B176" s="76" t="s">
        <v>138</v>
      </c>
      <c r="C176" s="72">
        <f>Avaliacao_Humana!AL31</f>
        <v>1</v>
      </c>
      <c r="D176" s="72">
        <f>ChatGPT_ZeroShot!AL31</f>
        <v>4</v>
      </c>
      <c r="E176" s="72">
        <f>ChatGPT_FewShot!AL31</f>
        <v>1</v>
      </c>
      <c r="F176" s="72">
        <f>ChatGPT_CoT!AL31</f>
        <v>4</v>
      </c>
      <c r="G176" s="72">
        <f>Gemini_ZeroShot!AL31</f>
        <v>0</v>
      </c>
      <c r="H176" s="72">
        <f>Gemini_FewShot!AL31</f>
        <v>5</v>
      </c>
      <c r="I176" s="72">
        <f>Gemini_CoT!AL31</f>
        <v>0</v>
      </c>
      <c r="J176" s="72">
        <f>Claude_ZeroShot!AL31</f>
        <v>3</v>
      </c>
      <c r="K176" s="72">
        <f>Claude_FewShot!AL31</f>
        <v>0</v>
      </c>
      <c r="L176" s="72">
        <f>Claude_CoT!AL31</f>
        <v>1</v>
      </c>
      <c r="M176" s="72">
        <f t="shared" si="1"/>
        <v>3</v>
      </c>
      <c r="N176" s="72">
        <f t="shared" si="2"/>
        <v>0</v>
      </c>
      <c r="O176" s="72">
        <f t="shared" si="3"/>
        <v>3</v>
      </c>
      <c r="P176" s="72">
        <f t="shared" si="4"/>
        <v>1</v>
      </c>
      <c r="Q176" s="72">
        <f t="shared" si="5"/>
        <v>4</v>
      </c>
      <c r="R176" s="72">
        <f t="shared" si="6"/>
        <v>1</v>
      </c>
      <c r="S176" s="72">
        <f t="shared" si="7"/>
        <v>2</v>
      </c>
      <c r="T176" s="72">
        <f t="shared" si="8"/>
        <v>1</v>
      </c>
      <c r="U176" s="72">
        <f t="shared" si="9"/>
        <v>0</v>
      </c>
    </row>
    <row r="177" ht="15.0" customHeight="1">
      <c r="A177" s="29" t="s">
        <v>99</v>
      </c>
      <c r="B177" s="69" t="s">
        <v>133</v>
      </c>
      <c r="C177" s="70">
        <f>Avaliacao_Humana!H32</f>
        <v>0</v>
      </c>
      <c r="D177" s="70">
        <f>ChatGPT_ZeroShot!H32</f>
        <v>0</v>
      </c>
      <c r="E177" s="70">
        <f>ChatGPT_FewShot!H32</f>
        <v>0</v>
      </c>
      <c r="F177" s="70">
        <f>ChatGPT_CoT!H32</f>
        <v>0</v>
      </c>
      <c r="G177" s="70">
        <f>Gemini_ZeroShot!H32</f>
        <v>0</v>
      </c>
      <c r="H177" s="70">
        <f>Gemini_FewShot!H32</f>
        <v>0</v>
      </c>
      <c r="I177" s="70">
        <f>Gemini_CoT!H32</f>
        <v>0</v>
      </c>
      <c r="J177" s="70">
        <f>Claude_ZeroShot!H32</f>
        <v>0</v>
      </c>
      <c r="K177" s="70">
        <f>Claude_FewShot!H32</f>
        <v>0</v>
      </c>
      <c r="L177" s="70">
        <f>Claude_CoT!H32</f>
        <v>0</v>
      </c>
      <c r="M177" s="70">
        <f t="shared" si="1"/>
        <v>0</v>
      </c>
      <c r="N177" s="70">
        <f t="shared" si="2"/>
        <v>0</v>
      </c>
      <c r="O177" s="70">
        <f t="shared" si="3"/>
        <v>0</v>
      </c>
      <c r="P177" s="70">
        <f t="shared" si="4"/>
        <v>0</v>
      </c>
      <c r="Q177" s="70">
        <f t="shared" si="5"/>
        <v>0</v>
      </c>
      <c r="R177" s="70">
        <f t="shared" si="6"/>
        <v>0</v>
      </c>
      <c r="S177" s="70">
        <f t="shared" si="7"/>
        <v>0</v>
      </c>
      <c r="T177" s="70">
        <f t="shared" si="8"/>
        <v>0</v>
      </c>
      <c r="U177" s="70">
        <f t="shared" si="9"/>
        <v>0</v>
      </c>
    </row>
    <row r="178" ht="15.0" customHeight="1">
      <c r="A178" s="12" t="s">
        <v>99</v>
      </c>
      <c r="B178" s="71" t="s">
        <v>134</v>
      </c>
      <c r="C178" s="72">
        <f>Avaliacao_Humana!N32</f>
        <v>0</v>
      </c>
      <c r="D178" s="72">
        <f>ChatGPT_ZeroShot!N32</f>
        <v>0</v>
      </c>
      <c r="E178" s="72">
        <f>ChatGPT_FewShot!N32</f>
        <v>0</v>
      </c>
      <c r="F178" s="72">
        <f>ChatGPT_CoT!N32</f>
        <v>0</v>
      </c>
      <c r="G178" s="72">
        <f>Gemini_ZeroShot!N32</f>
        <v>0</v>
      </c>
      <c r="H178" s="72">
        <f>Gemini_FewShot!N32</f>
        <v>0</v>
      </c>
      <c r="I178" s="72">
        <f>Gemini_CoT!N32</f>
        <v>0</v>
      </c>
      <c r="J178" s="72">
        <f>Claude_ZeroShot!N32</f>
        <v>0</v>
      </c>
      <c r="K178" s="72">
        <f>Claude_FewShot!N32</f>
        <v>0</v>
      </c>
      <c r="L178" s="72">
        <f>Claude_CoT!N32</f>
        <v>0</v>
      </c>
      <c r="M178" s="72">
        <f t="shared" si="1"/>
        <v>0</v>
      </c>
      <c r="N178" s="72">
        <f t="shared" si="2"/>
        <v>0</v>
      </c>
      <c r="O178" s="72">
        <f t="shared" si="3"/>
        <v>0</v>
      </c>
      <c r="P178" s="72">
        <f t="shared" si="4"/>
        <v>0</v>
      </c>
      <c r="Q178" s="72">
        <f t="shared" si="5"/>
        <v>0</v>
      </c>
      <c r="R178" s="72">
        <f t="shared" si="6"/>
        <v>0</v>
      </c>
      <c r="S178" s="72">
        <f t="shared" si="7"/>
        <v>0</v>
      </c>
      <c r="T178" s="72">
        <f t="shared" si="8"/>
        <v>0</v>
      </c>
      <c r="U178" s="72">
        <f t="shared" si="9"/>
        <v>0</v>
      </c>
    </row>
    <row r="179" ht="15.0" customHeight="1">
      <c r="A179" s="29" t="s">
        <v>99</v>
      </c>
      <c r="B179" s="73" t="s">
        <v>135</v>
      </c>
      <c r="C179" s="70">
        <f>Avaliacao_Humana!T32</f>
        <v>1</v>
      </c>
      <c r="D179" s="70">
        <f>ChatGPT_ZeroShot!T32</f>
        <v>1</v>
      </c>
      <c r="E179" s="70">
        <f>ChatGPT_FewShot!T32</f>
        <v>1</v>
      </c>
      <c r="F179" s="70">
        <f>ChatGPT_CoT!T32</f>
        <v>1</v>
      </c>
      <c r="G179" s="70">
        <f>Gemini_ZeroShot!T32</f>
        <v>1</v>
      </c>
      <c r="H179" s="70">
        <f>Gemini_FewShot!T32</f>
        <v>0</v>
      </c>
      <c r="I179" s="70">
        <f>Gemini_CoT!T32</f>
        <v>1</v>
      </c>
      <c r="J179" s="70">
        <f>Claude_ZeroShot!T32</f>
        <v>1</v>
      </c>
      <c r="K179" s="70">
        <f>Claude_FewShot!T32</f>
        <v>1</v>
      </c>
      <c r="L179" s="70">
        <f>Claude_CoT!T32</f>
        <v>1</v>
      </c>
      <c r="M179" s="70">
        <f t="shared" si="1"/>
        <v>0</v>
      </c>
      <c r="N179" s="70">
        <f t="shared" si="2"/>
        <v>0</v>
      </c>
      <c r="O179" s="70">
        <f t="shared" si="3"/>
        <v>0</v>
      </c>
      <c r="P179" s="70">
        <f t="shared" si="4"/>
        <v>0</v>
      </c>
      <c r="Q179" s="70">
        <f t="shared" si="5"/>
        <v>1</v>
      </c>
      <c r="R179" s="70">
        <f t="shared" si="6"/>
        <v>0</v>
      </c>
      <c r="S179" s="70">
        <f t="shared" si="7"/>
        <v>0</v>
      </c>
      <c r="T179" s="70">
        <f t="shared" si="8"/>
        <v>0</v>
      </c>
      <c r="U179" s="70">
        <f t="shared" si="9"/>
        <v>0</v>
      </c>
    </row>
    <row r="180" ht="15.0" customHeight="1">
      <c r="A180" s="12" t="s">
        <v>99</v>
      </c>
      <c r="B180" s="74" t="s">
        <v>136</v>
      </c>
      <c r="C180" s="72">
        <f>Avaliacao_Humana!Z32</f>
        <v>2</v>
      </c>
      <c r="D180" s="72">
        <f>ChatGPT_ZeroShot!Z32</f>
        <v>0</v>
      </c>
      <c r="E180" s="72">
        <f>ChatGPT_FewShot!Z32</f>
        <v>0</v>
      </c>
      <c r="F180" s="72">
        <f>ChatGPT_CoT!Z32</f>
        <v>0</v>
      </c>
      <c r="G180" s="72">
        <f>Gemini_ZeroShot!Z32</f>
        <v>0</v>
      </c>
      <c r="H180" s="72">
        <f>Gemini_FewShot!Z32</f>
        <v>2</v>
      </c>
      <c r="I180" s="72">
        <f>Gemini_CoT!Z32</f>
        <v>0</v>
      </c>
      <c r="J180" s="72">
        <f>Claude_ZeroShot!Z32</f>
        <v>2</v>
      </c>
      <c r="K180" s="72">
        <f>Claude_FewShot!Z32</f>
        <v>0</v>
      </c>
      <c r="L180" s="72">
        <f>Claude_CoT!Z32</f>
        <v>2</v>
      </c>
      <c r="M180" s="72">
        <f t="shared" si="1"/>
        <v>2</v>
      </c>
      <c r="N180" s="72">
        <f t="shared" si="2"/>
        <v>2</v>
      </c>
      <c r="O180" s="72">
        <f t="shared" si="3"/>
        <v>2</v>
      </c>
      <c r="P180" s="72">
        <f t="shared" si="4"/>
        <v>2</v>
      </c>
      <c r="Q180" s="72">
        <f t="shared" si="5"/>
        <v>0</v>
      </c>
      <c r="R180" s="72">
        <f t="shared" si="6"/>
        <v>2</v>
      </c>
      <c r="S180" s="72">
        <f t="shared" si="7"/>
        <v>0</v>
      </c>
      <c r="T180" s="72">
        <f t="shared" si="8"/>
        <v>2</v>
      </c>
      <c r="U180" s="72">
        <f t="shared" si="9"/>
        <v>0</v>
      </c>
    </row>
    <row r="181" ht="15.0" customHeight="1">
      <c r="A181" s="29" t="s">
        <v>99</v>
      </c>
      <c r="B181" s="75" t="s">
        <v>137</v>
      </c>
      <c r="C181" s="70">
        <f>Avaliacao_Humana!AF32</f>
        <v>0</v>
      </c>
      <c r="D181" s="70">
        <f>ChatGPT_ZeroShot!AF32</f>
        <v>0</v>
      </c>
      <c r="E181" s="70">
        <f>ChatGPT_FewShot!AF32</f>
        <v>0</v>
      </c>
      <c r="F181" s="70">
        <f>ChatGPT_CoT!AF32</f>
        <v>0</v>
      </c>
      <c r="G181" s="70">
        <f>Gemini_ZeroShot!AF32</f>
        <v>0</v>
      </c>
      <c r="H181" s="70">
        <f>Gemini_FewShot!AF32</f>
        <v>0</v>
      </c>
      <c r="I181" s="70">
        <f>Gemini_CoT!AF32</f>
        <v>0</v>
      </c>
      <c r="J181" s="70">
        <f>Claude_ZeroShot!AF32</f>
        <v>0</v>
      </c>
      <c r="K181" s="70">
        <f>Claude_FewShot!AF32</f>
        <v>0</v>
      </c>
      <c r="L181" s="70">
        <f>Claude_CoT!AF32</f>
        <v>0</v>
      </c>
      <c r="M181" s="70">
        <f t="shared" si="1"/>
        <v>0</v>
      </c>
      <c r="N181" s="70">
        <f t="shared" si="2"/>
        <v>0</v>
      </c>
      <c r="O181" s="70">
        <f t="shared" si="3"/>
        <v>0</v>
      </c>
      <c r="P181" s="70">
        <f t="shared" si="4"/>
        <v>0</v>
      </c>
      <c r="Q181" s="70">
        <f t="shared" si="5"/>
        <v>0</v>
      </c>
      <c r="R181" s="70">
        <f t="shared" si="6"/>
        <v>0</v>
      </c>
      <c r="S181" s="70">
        <f t="shared" si="7"/>
        <v>0</v>
      </c>
      <c r="T181" s="70">
        <f t="shared" si="8"/>
        <v>0</v>
      </c>
      <c r="U181" s="70">
        <f t="shared" si="9"/>
        <v>0</v>
      </c>
    </row>
    <row r="182" ht="15.0" customHeight="1">
      <c r="A182" s="12" t="s">
        <v>99</v>
      </c>
      <c r="B182" s="76" t="s">
        <v>138</v>
      </c>
      <c r="C182" s="72">
        <f>Avaliacao_Humana!AL32</f>
        <v>2</v>
      </c>
      <c r="D182" s="72">
        <f>ChatGPT_ZeroShot!AL32</f>
        <v>4</v>
      </c>
      <c r="E182" s="72">
        <f>ChatGPT_FewShot!AL32</f>
        <v>1</v>
      </c>
      <c r="F182" s="72">
        <f>ChatGPT_CoT!AL32</f>
        <v>4</v>
      </c>
      <c r="G182" s="72">
        <f>Gemini_ZeroShot!AL32</f>
        <v>0</v>
      </c>
      <c r="H182" s="72">
        <f>Gemini_FewShot!AL32</f>
        <v>4</v>
      </c>
      <c r="I182" s="72">
        <f>Gemini_CoT!AL32</f>
        <v>0</v>
      </c>
      <c r="J182" s="72">
        <f>Claude_ZeroShot!AL32</f>
        <v>4</v>
      </c>
      <c r="K182" s="72">
        <f>Claude_FewShot!AL32</f>
        <v>0</v>
      </c>
      <c r="L182" s="72">
        <f>Claude_CoT!AL32</f>
        <v>1</v>
      </c>
      <c r="M182" s="72">
        <f t="shared" si="1"/>
        <v>2</v>
      </c>
      <c r="N182" s="72">
        <f t="shared" si="2"/>
        <v>1</v>
      </c>
      <c r="O182" s="72">
        <f t="shared" si="3"/>
        <v>2</v>
      </c>
      <c r="P182" s="72">
        <f t="shared" si="4"/>
        <v>2</v>
      </c>
      <c r="Q182" s="72">
        <f t="shared" si="5"/>
        <v>2</v>
      </c>
      <c r="R182" s="72">
        <f t="shared" si="6"/>
        <v>2</v>
      </c>
      <c r="S182" s="72">
        <f t="shared" si="7"/>
        <v>2</v>
      </c>
      <c r="T182" s="72">
        <f t="shared" si="8"/>
        <v>2</v>
      </c>
      <c r="U182" s="72">
        <f t="shared" si="9"/>
        <v>1</v>
      </c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</row>
    <row r="185" ht="15.0" customHeight="1">
      <c r="A185" s="77" t="s">
        <v>192</v>
      </c>
      <c r="B185" s="3"/>
      <c r="C185" s="38" t="s">
        <v>174</v>
      </c>
      <c r="D185" s="38" t="s">
        <v>175</v>
      </c>
      <c r="E185" s="38" t="s">
        <v>176</v>
      </c>
      <c r="F185" s="38" t="s">
        <v>177</v>
      </c>
      <c r="G185" s="38" t="s">
        <v>178</v>
      </c>
      <c r="H185" s="38" t="s">
        <v>179</v>
      </c>
      <c r="I185" s="38" t="s">
        <v>180</v>
      </c>
      <c r="J185" s="38" t="s">
        <v>181</v>
      </c>
      <c r="K185" s="38" t="s">
        <v>182</v>
      </c>
      <c r="L185" s="36"/>
      <c r="M185" s="36"/>
      <c r="N185" s="36"/>
      <c r="O185" s="36"/>
      <c r="P185" s="36"/>
      <c r="Q185" s="36"/>
      <c r="R185" s="36"/>
      <c r="S185" s="36"/>
      <c r="T185" s="36"/>
      <c r="U185" s="36"/>
    </row>
    <row r="186" ht="15.0" customHeight="1">
      <c r="A186" s="36"/>
      <c r="B186" s="36"/>
      <c r="C186" s="78">
        <f t="shared" ref="C186:K186" si="10">AVERAGE(M3:M182)</f>
        <v>0.5277777778</v>
      </c>
      <c r="D186" s="78">
        <f t="shared" si="10"/>
        <v>0.4111111111</v>
      </c>
      <c r="E186" s="78">
        <f t="shared" si="10"/>
        <v>0.5166666667</v>
      </c>
      <c r="F186" s="78">
        <f t="shared" si="10"/>
        <v>0.6</v>
      </c>
      <c r="G186" s="78">
        <f t="shared" si="10"/>
        <v>0.5388888889</v>
      </c>
      <c r="H186" s="78">
        <f t="shared" si="10"/>
        <v>0.6055555556</v>
      </c>
      <c r="I186" s="78">
        <f t="shared" si="10"/>
        <v>0.4333333333</v>
      </c>
      <c r="J186" s="78">
        <f t="shared" si="10"/>
        <v>0.5444444444</v>
      </c>
      <c r="K186" s="78">
        <f t="shared" si="10"/>
        <v>0.4722222222</v>
      </c>
      <c r="L186" s="36"/>
      <c r="M186" s="36"/>
      <c r="N186" s="36"/>
      <c r="O186" s="36"/>
      <c r="P186" s="36"/>
      <c r="Q186" s="36"/>
      <c r="R186" s="36"/>
      <c r="S186" s="36"/>
      <c r="T186" s="36"/>
      <c r="U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</row>
  </sheetData>
  <mergeCells count="2">
    <mergeCell ref="A1:U1"/>
    <mergeCell ref="A185:B185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4.0"/>
    <col customWidth="1" min="2" max="31" width="7.0"/>
    <col customWidth="1" min="32" max="32" width="12.0"/>
  </cols>
  <sheetData>
    <row r="1" ht="27.75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1.75" customHeight="1">
      <c r="A2" s="79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</row>
    <row r="3" ht="27.75" customHeight="1">
      <c r="A3" s="38" t="s">
        <v>195</v>
      </c>
      <c r="B3" s="39" t="s">
        <v>3</v>
      </c>
      <c r="C3" s="39" t="s">
        <v>4</v>
      </c>
      <c r="D3" s="39" t="s">
        <v>5</v>
      </c>
      <c r="E3" s="39" t="s">
        <v>6</v>
      </c>
      <c r="F3" s="39" t="s">
        <v>7</v>
      </c>
      <c r="G3" s="40" t="s">
        <v>9</v>
      </c>
      <c r="H3" s="40" t="s">
        <v>10</v>
      </c>
      <c r="I3" s="40" t="s">
        <v>11</v>
      </c>
      <c r="J3" s="40" t="s">
        <v>12</v>
      </c>
      <c r="K3" s="40" t="s">
        <v>13</v>
      </c>
      <c r="L3" s="41" t="s">
        <v>15</v>
      </c>
      <c r="M3" s="41" t="s">
        <v>16</v>
      </c>
      <c r="N3" s="41" t="s">
        <v>17</v>
      </c>
      <c r="O3" s="41" t="s">
        <v>18</v>
      </c>
      <c r="P3" s="41" t="s">
        <v>19</v>
      </c>
      <c r="Q3" s="42" t="s">
        <v>21</v>
      </c>
      <c r="R3" s="42" t="s">
        <v>22</v>
      </c>
      <c r="S3" s="42" t="s">
        <v>23</v>
      </c>
      <c r="T3" s="42" t="s">
        <v>24</v>
      </c>
      <c r="U3" s="42" t="s">
        <v>25</v>
      </c>
      <c r="V3" s="43" t="s">
        <v>27</v>
      </c>
      <c r="W3" s="43" t="s">
        <v>28</v>
      </c>
      <c r="X3" s="43" t="s">
        <v>29</v>
      </c>
      <c r="Y3" s="43" t="s">
        <v>30</v>
      </c>
      <c r="Z3" s="43" t="s">
        <v>31</v>
      </c>
      <c r="AA3" s="44" t="s">
        <v>33</v>
      </c>
      <c r="AB3" s="44" t="s">
        <v>34</v>
      </c>
      <c r="AC3" s="44" t="s">
        <v>35</v>
      </c>
      <c r="AD3" s="44" t="s">
        <v>36</v>
      </c>
      <c r="AE3" s="44" t="s">
        <v>37</v>
      </c>
      <c r="AF3" s="38" t="s">
        <v>196</v>
      </c>
    </row>
    <row r="4" ht="15.75" customHeight="1">
      <c r="A4" s="58" t="s">
        <v>122</v>
      </c>
      <c r="B4" s="64">
        <f>SUMPRODUCT((ChatGPT_ZeroShot!C3:C32=1)*(Avaliacao_Humana!C3:C32=0))</f>
        <v>0</v>
      </c>
      <c r="C4" s="64">
        <f>SUMPRODUCT((ChatGPT_ZeroShot!D3:D32=1)*(Avaliacao_Humana!D3:D32=0))</f>
        <v>0</v>
      </c>
      <c r="D4" s="64">
        <f>SUMPRODUCT((ChatGPT_ZeroShot!E3:E32=1)*(Avaliacao_Humana!E3:E32=0))</f>
        <v>1</v>
      </c>
      <c r="E4" s="64">
        <f>SUMPRODUCT((ChatGPT_ZeroShot!F3:F32=1)*(Avaliacao_Humana!F3:F32=0))</f>
        <v>1</v>
      </c>
      <c r="F4" s="64">
        <f>SUMPRODUCT((ChatGPT_ZeroShot!G3:G32=1)*(Avaliacao_Humana!G3:G32=0))</f>
        <v>1</v>
      </c>
      <c r="G4" s="64">
        <f>SUMPRODUCT((ChatGPT_ZeroShot!I3:I32=1)*(Avaliacao_Humana!I3:I32=0))</f>
        <v>0</v>
      </c>
      <c r="H4" s="64">
        <f>SUMPRODUCT((ChatGPT_ZeroShot!J3:J32=1)*(Avaliacao_Humana!J3:J32=0))</f>
        <v>5</v>
      </c>
      <c r="I4" s="64">
        <f>SUMPRODUCT((ChatGPT_ZeroShot!K3:K32=1)*(Avaliacao_Humana!K3:K32=0))</f>
        <v>0</v>
      </c>
      <c r="J4" s="64">
        <f>SUMPRODUCT((ChatGPT_ZeroShot!L3:L32=1)*(Avaliacao_Humana!L3:L32=0))</f>
        <v>1</v>
      </c>
      <c r="K4" s="64">
        <f>SUMPRODUCT((ChatGPT_ZeroShot!M3:M32=1)*(Avaliacao_Humana!M3:M32=0))</f>
        <v>0</v>
      </c>
      <c r="L4" s="64">
        <f>SUMPRODUCT((ChatGPT_ZeroShot!O3:O32=1)*(Avaliacao_Humana!O3:O32=0))</f>
        <v>2</v>
      </c>
      <c r="M4" s="64">
        <f>SUMPRODUCT((ChatGPT_ZeroShot!P3:P32=1)*(Avaliacao_Humana!P3:P32=0))</f>
        <v>2</v>
      </c>
      <c r="N4" s="64">
        <f>SUMPRODUCT((ChatGPT_ZeroShot!Q3:Q32=1)*(Avaliacao_Humana!Q3:Q32=0))</f>
        <v>0</v>
      </c>
      <c r="O4" s="64">
        <f>SUMPRODUCT((ChatGPT_ZeroShot!R3:R32=1)*(Avaliacao_Humana!R3:R32=0))</f>
        <v>3</v>
      </c>
      <c r="P4" s="64">
        <f>SUMPRODUCT((ChatGPT_ZeroShot!S3:S32=1)*(Avaliacao_Humana!S3:S32=0))</f>
        <v>0</v>
      </c>
      <c r="Q4" s="64">
        <f>SUMPRODUCT((ChatGPT_ZeroShot!U3:U32=1)*(Avaliacao_Humana!U3:U32=0))</f>
        <v>1</v>
      </c>
      <c r="R4" s="64">
        <f>SUMPRODUCT((ChatGPT_ZeroShot!V3:V32=1)*(Avaliacao_Humana!V3:V32=0))</f>
        <v>0</v>
      </c>
      <c r="S4" s="64">
        <f>SUMPRODUCT((ChatGPT_ZeroShot!W3:W32=1)*(Avaliacao_Humana!W3:W32=0))</f>
        <v>2</v>
      </c>
      <c r="T4" s="64">
        <f>SUMPRODUCT((ChatGPT_ZeroShot!X3:X32=1)*(Avaliacao_Humana!X3:X32=0))</f>
        <v>1</v>
      </c>
      <c r="U4" s="64">
        <f>SUMPRODUCT((ChatGPT_ZeroShot!Y3:Y32=1)*(Avaliacao_Humana!Y3:Y32=0))</f>
        <v>0</v>
      </c>
      <c r="V4" s="64">
        <f>SUMPRODUCT((ChatGPT_ZeroShot!AA3:AA32=1)*(Avaliacao_Humana!AA3:AA32=0))</f>
        <v>1</v>
      </c>
      <c r="W4" s="64">
        <f>SUMPRODUCT((ChatGPT_ZeroShot!AB3:AB32=1)*(Avaliacao_Humana!AB3:AB32=0))</f>
        <v>3</v>
      </c>
      <c r="X4" s="64">
        <f>SUMPRODUCT((ChatGPT_ZeroShot!AC3:AC32=1)*(Avaliacao_Humana!AC3:AC32=0))</f>
        <v>0</v>
      </c>
      <c r="Y4" s="64">
        <f>SUMPRODUCT((ChatGPT_ZeroShot!AD3:AD32=1)*(Avaliacao_Humana!AD3:AD32=0))</f>
        <v>0</v>
      </c>
      <c r="Z4" s="64">
        <f>SUMPRODUCT((ChatGPT_ZeroShot!AE3:AE32=1)*(Avaliacao_Humana!AE3:AE32=0))</f>
        <v>2</v>
      </c>
      <c r="AA4" s="64">
        <f>SUMPRODUCT((ChatGPT_ZeroShot!AG3:AG32=1)*(Avaliacao_Humana!AG3:AG32=0))</f>
        <v>0</v>
      </c>
      <c r="AB4" s="64">
        <f>SUMPRODUCT((ChatGPT_ZeroShot!AH3:AH32=1)*(Avaliacao_Humana!AH3:AH32=0))</f>
        <v>0</v>
      </c>
      <c r="AC4" s="64">
        <f>SUMPRODUCT((ChatGPT_ZeroShot!AI3:AI32=1)*(Avaliacao_Humana!AI3:AI32=0))</f>
        <v>13</v>
      </c>
      <c r="AD4" s="64">
        <f>SUMPRODUCT((ChatGPT_ZeroShot!AJ3:AJ32=1)*(Avaliacao_Humana!AJ3:AJ32=0))</f>
        <v>25</v>
      </c>
      <c r="AE4" s="64">
        <f>SUMPRODUCT((ChatGPT_ZeroShot!AK3:AK32=1)*(Avaliacao_Humana!AK3:AK32=0))</f>
        <v>25</v>
      </c>
      <c r="AF4" s="80">
        <f t="shared" ref="AF4:AF12" si="1">SUM(B4:AE4)</f>
        <v>89</v>
      </c>
    </row>
    <row r="5" ht="15.75" customHeight="1">
      <c r="A5" s="54" t="s">
        <v>123</v>
      </c>
      <c r="B5" s="67">
        <f>SUMPRODUCT((ChatGPT_FewShot!C3:C32=1)*(Avaliacao_Humana!C3:C32=0))</f>
        <v>0</v>
      </c>
      <c r="C5" s="67">
        <f>SUMPRODUCT((ChatGPT_FewShot!D3:D32=1)*(Avaliacao_Humana!D3:D32=0))</f>
        <v>0</v>
      </c>
      <c r="D5" s="67">
        <f>SUMPRODUCT((ChatGPT_FewShot!E3:E32=1)*(Avaliacao_Humana!E3:E32=0))</f>
        <v>0</v>
      </c>
      <c r="E5" s="67">
        <f>SUMPRODUCT((ChatGPT_FewShot!F3:F32=1)*(Avaliacao_Humana!F3:F32=0))</f>
        <v>0</v>
      </c>
      <c r="F5" s="67">
        <f>SUMPRODUCT((ChatGPT_FewShot!G3:G32=1)*(Avaliacao_Humana!G3:G32=0))</f>
        <v>0</v>
      </c>
      <c r="G5" s="67">
        <f>SUMPRODUCT((ChatGPT_FewShot!I3:I32=1)*(Avaliacao_Humana!I3:I32=0))</f>
        <v>0</v>
      </c>
      <c r="H5" s="67">
        <f>SUMPRODUCT((ChatGPT_FewShot!J3:J32=1)*(Avaliacao_Humana!J3:J32=0))</f>
        <v>0</v>
      </c>
      <c r="I5" s="67">
        <f>SUMPRODUCT((ChatGPT_FewShot!K3:K32=1)*(Avaliacao_Humana!K3:K32=0))</f>
        <v>0</v>
      </c>
      <c r="J5" s="67">
        <f>SUMPRODUCT((ChatGPT_FewShot!L3:L32=1)*(Avaliacao_Humana!L3:L32=0))</f>
        <v>0</v>
      </c>
      <c r="K5" s="67">
        <f>SUMPRODUCT((ChatGPT_FewShot!M3:M32=1)*(Avaliacao_Humana!M3:M32=0))</f>
        <v>0</v>
      </c>
      <c r="L5" s="67">
        <f>SUMPRODUCT((ChatGPT_FewShot!O3:O32=1)*(Avaliacao_Humana!O3:O32=0))</f>
        <v>0</v>
      </c>
      <c r="M5" s="67">
        <f>SUMPRODUCT((ChatGPT_FewShot!P3:P32=1)*(Avaliacao_Humana!P3:P32=0))</f>
        <v>0</v>
      </c>
      <c r="N5" s="67">
        <f>SUMPRODUCT((ChatGPT_FewShot!Q3:Q32=1)*(Avaliacao_Humana!Q3:Q32=0))</f>
        <v>0</v>
      </c>
      <c r="O5" s="67">
        <f>SUMPRODUCT((ChatGPT_FewShot!R3:R32=1)*(Avaliacao_Humana!R3:R32=0))</f>
        <v>0</v>
      </c>
      <c r="P5" s="67">
        <f>SUMPRODUCT((ChatGPT_FewShot!S3:S32=1)*(Avaliacao_Humana!S3:S32=0))</f>
        <v>0</v>
      </c>
      <c r="Q5" s="67">
        <f>SUMPRODUCT((ChatGPT_FewShot!U3:U32=1)*(Avaliacao_Humana!U3:U32=0))</f>
        <v>0</v>
      </c>
      <c r="R5" s="67">
        <f>SUMPRODUCT((ChatGPT_FewShot!V3:V32=1)*(Avaliacao_Humana!V3:V32=0))</f>
        <v>1</v>
      </c>
      <c r="S5" s="67">
        <f>SUMPRODUCT((ChatGPT_FewShot!W3:W32=1)*(Avaliacao_Humana!W3:W32=0))</f>
        <v>1</v>
      </c>
      <c r="T5" s="67">
        <f>SUMPRODUCT((ChatGPT_FewShot!X3:X32=1)*(Avaliacao_Humana!X3:X32=0))</f>
        <v>1</v>
      </c>
      <c r="U5" s="67">
        <f>SUMPRODUCT((ChatGPT_FewShot!Y3:Y32=1)*(Avaliacao_Humana!Y3:Y32=0))</f>
        <v>0</v>
      </c>
      <c r="V5" s="67">
        <f>SUMPRODUCT((ChatGPT_FewShot!AA3:AA32=1)*(Avaliacao_Humana!AA3:AA32=0))</f>
        <v>0</v>
      </c>
      <c r="W5" s="67">
        <f>SUMPRODUCT((ChatGPT_FewShot!AB3:AB32=1)*(Avaliacao_Humana!AB3:AB32=0))</f>
        <v>1</v>
      </c>
      <c r="X5" s="67">
        <f>SUMPRODUCT((ChatGPT_FewShot!AC3:AC32=1)*(Avaliacao_Humana!AC3:AC32=0))</f>
        <v>0</v>
      </c>
      <c r="Y5" s="67">
        <f>SUMPRODUCT((ChatGPT_FewShot!AD3:AD32=1)*(Avaliacao_Humana!AD3:AD32=0))</f>
        <v>0</v>
      </c>
      <c r="Z5" s="67">
        <f>SUMPRODUCT((ChatGPT_FewShot!AE3:AE32=1)*(Avaliacao_Humana!AE3:AE32=0))</f>
        <v>0</v>
      </c>
      <c r="AA5" s="67">
        <f>SUMPRODUCT((ChatGPT_FewShot!AG3:AG32=1)*(Avaliacao_Humana!AG3:AG32=0))</f>
        <v>0</v>
      </c>
      <c r="AB5" s="67">
        <f>SUMPRODUCT((ChatGPT_FewShot!AH3:AH32=1)*(Avaliacao_Humana!AH3:AH32=0))</f>
        <v>0</v>
      </c>
      <c r="AC5" s="67">
        <f>SUMPRODUCT((ChatGPT_FewShot!AI3:AI32=1)*(Avaliacao_Humana!AI3:AI32=0))</f>
        <v>0</v>
      </c>
      <c r="AD5" s="67">
        <f>SUMPRODUCT((ChatGPT_FewShot!AJ3:AJ32=1)*(Avaliacao_Humana!AJ3:AJ32=0))</f>
        <v>1</v>
      </c>
      <c r="AE5" s="67">
        <f>SUMPRODUCT((ChatGPT_FewShot!AK3:AK32=1)*(Avaliacao_Humana!AK3:AK32=0))</f>
        <v>0</v>
      </c>
      <c r="AF5" s="80">
        <f t="shared" si="1"/>
        <v>5</v>
      </c>
    </row>
    <row r="6" ht="15.75" customHeight="1">
      <c r="A6" s="58" t="s">
        <v>124</v>
      </c>
      <c r="B6" s="64">
        <f>SUMPRODUCT((ChatGPT_CoT!C3:C32=1)*(Avaliacao_Humana!C3:C32=0))</f>
        <v>0</v>
      </c>
      <c r="C6" s="64">
        <f>SUMPRODUCT((ChatGPT_CoT!D3:D32=1)*(Avaliacao_Humana!D3:D32=0))</f>
        <v>0</v>
      </c>
      <c r="D6" s="64">
        <f>SUMPRODUCT((ChatGPT_CoT!E3:E32=1)*(Avaliacao_Humana!E3:E32=0))</f>
        <v>1</v>
      </c>
      <c r="E6" s="64">
        <f>SUMPRODUCT((ChatGPT_CoT!F3:F32=1)*(Avaliacao_Humana!F3:F32=0))</f>
        <v>1</v>
      </c>
      <c r="F6" s="64">
        <f>SUMPRODUCT((ChatGPT_CoT!G3:G32=1)*(Avaliacao_Humana!G3:G32=0))</f>
        <v>1</v>
      </c>
      <c r="G6" s="64">
        <f>SUMPRODUCT((ChatGPT_CoT!I3:I32=1)*(Avaliacao_Humana!I3:I32=0))</f>
        <v>0</v>
      </c>
      <c r="H6" s="64">
        <f>SUMPRODUCT((ChatGPT_CoT!J3:J32=1)*(Avaliacao_Humana!J3:J32=0))</f>
        <v>3</v>
      </c>
      <c r="I6" s="64">
        <f>SUMPRODUCT((ChatGPT_CoT!K3:K32=1)*(Avaliacao_Humana!K3:K32=0))</f>
        <v>0</v>
      </c>
      <c r="J6" s="64">
        <f>SUMPRODUCT((ChatGPT_CoT!L3:L32=1)*(Avaliacao_Humana!L3:L32=0))</f>
        <v>0</v>
      </c>
      <c r="K6" s="64">
        <f>SUMPRODUCT((ChatGPT_CoT!M3:M32=1)*(Avaliacao_Humana!M3:M32=0))</f>
        <v>0</v>
      </c>
      <c r="L6" s="64">
        <f>SUMPRODUCT((ChatGPT_CoT!O3:O32=1)*(Avaliacao_Humana!O3:O32=0))</f>
        <v>1</v>
      </c>
      <c r="M6" s="64">
        <f>SUMPRODUCT((ChatGPT_CoT!P3:P32=1)*(Avaliacao_Humana!P3:P32=0))</f>
        <v>1</v>
      </c>
      <c r="N6" s="64">
        <f>SUMPRODUCT((ChatGPT_CoT!Q3:Q32=1)*(Avaliacao_Humana!Q3:Q32=0))</f>
        <v>0</v>
      </c>
      <c r="O6" s="64">
        <f>SUMPRODUCT((ChatGPT_CoT!R3:R32=1)*(Avaliacao_Humana!R3:R32=0))</f>
        <v>0</v>
      </c>
      <c r="P6" s="64">
        <f>SUMPRODUCT((ChatGPT_CoT!S3:S32=1)*(Avaliacao_Humana!S3:S32=0))</f>
        <v>0</v>
      </c>
      <c r="Q6" s="64">
        <f>SUMPRODUCT((ChatGPT_CoT!U3:U32=1)*(Avaliacao_Humana!U3:U32=0))</f>
        <v>1</v>
      </c>
      <c r="R6" s="64">
        <f>SUMPRODUCT((ChatGPT_CoT!V3:V32=1)*(Avaliacao_Humana!V3:V32=0))</f>
        <v>1</v>
      </c>
      <c r="S6" s="64">
        <f>SUMPRODUCT((ChatGPT_CoT!W3:W32=1)*(Avaliacao_Humana!W3:W32=0))</f>
        <v>2</v>
      </c>
      <c r="T6" s="64">
        <f>SUMPRODUCT((ChatGPT_CoT!X3:X32=1)*(Avaliacao_Humana!X3:X32=0))</f>
        <v>1</v>
      </c>
      <c r="U6" s="64">
        <f>SUMPRODUCT((ChatGPT_CoT!Y3:Y32=1)*(Avaliacao_Humana!Y3:Y32=0))</f>
        <v>0</v>
      </c>
      <c r="V6" s="64">
        <f>SUMPRODUCT((ChatGPT_CoT!AA3:AA32=1)*(Avaliacao_Humana!AA3:AA32=0))</f>
        <v>1</v>
      </c>
      <c r="W6" s="64">
        <f>SUMPRODUCT((ChatGPT_CoT!AB3:AB32=1)*(Avaliacao_Humana!AB3:AB32=0))</f>
        <v>1</v>
      </c>
      <c r="X6" s="64">
        <f>SUMPRODUCT((ChatGPT_CoT!AC3:AC32=1)*(Avaliacao_Humana!AC3:AC32=0))</f>
        <v>0</v>
      </c>
      <c r="Y6" s="64">
        <f>SUMPRODUCT((ChatGPT_CoT!AD3:AD32=1)*(Avaliacao_Humana!AD3:AD32=0))</f>
        <v>0</v>
      </c>
      <c r="Z6" s="64">
        <f>SUMPRODUCT((ChatGPT_CoT!AE3:AE32=1)*(Avaliacao_Humana!AE3:AE32=0))</f>
        <v>0</v>
      </c>
      <c r="AA6" s="64">
        <f>SUMPRODUCT((ChatGPT_CoT!AG3:AG32=1)*(Avaliacao_Humana!AG3:AG32=0))</f>
        <v>0</v>
      </c>
      <c r="AB6" s="64">
        <f>SUMPRODUCT((ChatGPT_CoT!AH3:AH32=1)*(Avaliacao_Humana!AH3:AH32=0))</f>
        <v>0</v>
      </c>
      <c r="AC6" s="64">
        <f>SUMPRODUCT((ChatGPT_CoT!AI3:AI32=1)*(Avaliacao_Humana!AI3:AI32=0))</f>
        <v>13</v>
      </c>
      <c r="AD6" s="64">
        <f>SUMPRODUCT((ChatGPT_CoT!AJ3:AJ32=1)*(Avaliacao_Humana!AJ3:AJ32=0))</f>
        <v>25</v>
      </c>
      <c r="AE6" s="64">
        <f>SUMPRODUCT((ChatGPT_CoT!AK3:AK32=1)*(Avaliacao_Humana!AK3:AK32=0))</f>
        <v>25</v>
      </c>
      <c r="AF6" s="80">
        <f t="shared" si="1"/>
        <v>78</v>
      </c>
    </row>
    <row r="7" ht="15.75" customHeight="1">
      <c r="A7" s="54" t="s">
        <v>125</v>
      </c>
      <c r="B7" s="67">
        <f>SUMPRODUCT((Gemini_ZeroShot!C3:C32=1)*(Avaliacao_Humana!C3:C32=0))</f>
        <v>0</v>
      </c>
      <c r="C7" s="67">
        <f>SUMPRODUCT((Gemini_ZeroShot!D3:D32=1)*(Avaliacao_Humana!D3:D32=0))</f>
        <v>0</v>
      </c>
      <c r="D7" s="67">
        <f>SUMPRODUCT((Gemini_ZeroShot!E3:E32=1)*(Avaliacao_Humana!E3:E32=0))</f>
        <v>0</v>
      </c>
      <c r="E7" s="67">
        <f>SUMPRODUCT((Gemini_ZeroShot!F3:F32=1)*(Avaliacao_Humana!F3:F32=0))</f>
        <v>1</v>
      </c>
      <c r="F7" s="67">
        <f>SUMPRODUCT((Gemini_ZeroShot!G3:G32=1)*(Avaliacao_Humana!G3:G32=0))</f>
        <v>1</v>
      </c>
      <c r="G7" s="67">
        <f>SUMPRODUCT((Gemini_ZeroShot!I3:I32=1)*(Avaliacao_Humana!I3:I32=0))</f>
        <v>0</v>
      </c>
      <c r="H7" s="67">
        <f>SUMPRODUCT((Gemini_ZeroShot!J3:J32=1)*(Avaliacao_Humana!J3:J32=0))</f>
        <v>0</v>
      </c>
      <c r="I7" s="67">
        <f>SUMPRODUCT((Gemini_ZeroShot!K3:K32=1)*(Avaliacao_Humana!K3:K32=0))</f>
        <v>0</v>
      </c>
      <c r="J7" s="67">
        <f>SUMPRODUCT((Gemini_ZeroShot!L3:L32=1)*(Avaliacao_Humana!L3:L32=0))</f>
        <v>0</v>
      </c>
      <c r="K7" s="67">
        <f>SUMPRODUCT((Gemini_ZeroShot!M3:M32=1)*(Avaliacao_Humana!M3:M32=0))</f>
        <v>0</v>
      </c>
      <c r="L7" s="67">
        <f>SUMPRODUCT((Gemini_ZeroShot!O3:O32=1)*(Avaliacao_Humana!O3:O32=0))</f>
        <v>0</v>
      </c>
      <c r="M7" s="67">
        <f>SUMPRODUCT((Gemini_ZeroShot!P3:P32=1)*(Avaliacao_Humana!P3:P32=0))</f>
        <v>0</v>
      </c>
      <c r="N7" s="67">
        <f>SUMPRODUCT((Gemini_ZeroShot!Q3:Q32=1)*(Avaliacao_Humana!Q3:Q32=0))</f>
        <v>0</v>
      </c>
      <c r="O7" s="67">
        <f>SUMPRODUCT((Gemini_ZeroShot!R3:R32=1)*(Avaliacao_Humana!R3:R32=0))</f>
        <v>0</v>
      </c>
      <c r="P7" s="67">
        <f>SUMPRODUCT((Gemini_ZeroShot!S3:S32=1)*(Avaliacao_Humana!S3:S32=0))</f>
        <v>0</v>
      </c>
      <c r="Q7" s="67">
        <f>SUMPRODUCT((Gemini_ZeroShot!U3:U32=1)*(Avaliacao_Humana!U3:U32=0))</f>
        <v>0</v>
      </c>
      <c r="R7" s="67">
        <f>SUMPRODUCT((Gemini_ZeroShot!V3:V32=1)*(Avaliacao_Humana!V3:V32=0))</f>
        <v>0</v>
      </c>
      <c r="S7" s="67">
        <f>SUMPRODUCT((Gemini_ZeroShot!W3:W32=1)*(Avaliacao_Humana!W3:W32=0))</f>
        <v>1</v>
      </c>
      <c r="T7" s="67">
        <f>SUMPRODUCT((Gemini_ZeroShot!X3:X32=1)*(Avaliacao_Humana!X3:X32=0))</f>
        <v>1</v>
      </c>
      <c r="U7" s="67">
        <f>SUMPRODUCT((Gemini_ZeroShot!Y3:Y32=1)*(Avaliacao_Humana!Y3:Y32=0))</f>
        <v>0</v>
      </c>
      <c r="V7" s="67">
        <f>SUMPRODUCT((Gemini_ZeroShot!AA3:AA32=1)*(Avaliacao_Humana!AA3:AA32=0))</f>
        <v>0</v>
      </c>
      <c r="W7" s="67">
        <f>SUMPRODUCT((Gemini_ZeroShot!AB3:AB32=1)*(Avaliacao_Humana!AB3:AB32=0))</f>
        <v>1</v>
      </c>
      <c r="X7" s="67">
        <f>SUMPRODUCT((Gemini_ZeroShot!AC3:AC32=1)*(Avaliacao_Humana!AC3:AC32=0))</f>
        <v>0</v>
      </c>
      <c r="Y7" s="67">
        <f>SUMPRODUCT((Gemini_ZeroShot!AD3:AD32=1)*(Avaliacao_Humana!AD3:AD32=0))</f>
        <v>0</v>
      </c>
      <c r="Z7" s="67">
        <f>SUMPRODUCT((Gemini_ZeroShot!AE3:AE32=1)*(Avaliacao_Humana!AE3:AE32=0))</f>
        <v>0</v>
      </c>
      <c r="AA7" s="67">
        <f>SUMPRODUCT((Gemini_ZeroShot!AG3:AG32=1)*(Avaliacao_Humana!AG3:AG32=0))</f>
        <v>0</v>
      </c>
      <c r="AB7" s="67">
        <f>SUMPRODUCT((Gemini_ZeroShot!AH3:AH32=1)*(Avaliacao_Humana!AH3:AH32=0))</f>
        <v>0</v>
      </c>
      <c r="AC7" s="67">
        <f>SUMPRODUCT((Gemini_ZeroShot!AI3:AI32=1)*(Avaliacao_Humana!AI3:AI32=0))</f>
        <v>0</v>
      </c>
      <c r="AD7" s="67">
        <f>SUMPRODUCT((Gemini_ZeroShot!AJ3:AJ32=1)*(Avaliacao_Humana!AJ3:AJ32=0))</f>
        <v>1</v>
      </c>
      <c r="AE7" s="67">
        <f>SUMPRODUCT((Gemini_ZeroShot!AK3:AK32=1)*(Avaliacao_Humana!AK3:AK32=0))</f>
        <v>0</v>
      </c>
      <c r="AF7" s="80">
        <f t="shared" si="1"/>
        <v>6</v>
      </c>
    </row>
    <row r="8" ht="15.75" customHeight="1">
      <c r="A8" s="58" t="s">
        <v>126</v>
      </c>
      <c r="B8" s="64">
        <f>SUMPRODUCT((Gemini_FewShot!C3:C32=1)*(Avaliacao_Humana!C3:C32=0))</f>
        <v>0</v>
      </c>
      <c r="C8" s="64">
        <f>SUMPRODUCT((Gemini_FewShot!D3:D32=1)*(Avaliacao_Humana!D3:D32=0))</f>
        <v>0</v>
      </c>
      <c r="D8" s="64">
        <f>SUMPRODUCT((Gemini_FewShot!E3:E32=1)*(Avaliacao_Humana!E3:E32=0))</f>
        <v>0</v>
      </c>
      <c r="E8" s="64">
        <f>SUMPRODUCT((Gemini_FewShot!F3:F32=1)*(Avaliacao_Humana!F3:F32=0))</f>
        <v>1</v>
      </c>
      <c r="F8" s="64">
        <f>SUMPRODUCT((Gemini_FewShot!G3:G32=1)*(Avaliacao_Humana!G3:G32=0))</f>
        <v>1</v>
      </c>
      <c r="G8" s="64">
        <f>SUMPRODUCT((Gemini_FewShot!I3:I32=1)*(Avaliacao_Humana!I3:I32=0))</f>
        <v>0</v>
      </c>
      <c r="H8" s="64">
        <f>SUMPRODUCT((Gemini_FewShot!J3:J32=1)*(Avaliacao_Humana!J3:J32=0))</f>
        <v>0</v>
      </c>
      <c r="I8" s="64">
        <f>SUMPRODUCT((Gemini_FewShot!K3:K32=1)*(Avaliacao_Humana!K3:K32=0))</f>
        <v>0</v>
      </c>
      <c r="J8" s="64">
        <f>SUMPRODUCT((Gemini_FewShot!L3:L32=1)*(Avaliacao_Humana!L3:L32=0))</f>
        <v>0</v>
      </c>
      <c r="K8" s="64">
        <f>SUMPRODUCT((Gemini_FewShot!M3:M32=1)*(Avaliacao_Humana!M3:M32=0))</f>
        <v>0</v>
      </c>
      <c r="L8" s="64">
        <f>SUMPRODUCT((Gemini_FewShot!O3:O32=1)*(Avaliacao_Humana!O3:O32=0))</f>
        <v>2</v>
      </c>
      <c r="M8" s="64">
        <f>SUMPRODUCT((Gemini_FewShot!P3:P32=1)*(Avaliacao_Humana!P3:P32=0))</f>
        <v>1</v>
      </c>
      <c r="N8" s="64">
        <f>SUMPRODUCT((Gemini_FewShot!Q3:Q32=1)*(Avaliacao_Humana!Q3:Q32=0))</f>
        <v>1</v>
      </c>
      <c r="O8" s="64">
        <f>SUMPRODUCT((Gemini_FewShot!R3:R32=1)*(Avaliacao_Humana!R3:R32=0))</f>
        <v>2</v>
      </c>
      <c r="P8" s="64">
        <f>SUMPRODUCT((Gemini_FewShot!S3:S32=1)*(Avaliacao_Humana!S3:S32=0))</f>
        <v>1</v>
      </c>
      <c r="Q8" s="64">
        <f>SUMPRODUCT((Gemini_FewShot!U3:U32=1)*(Avaliacao_Humana!U3:U32=0))</f>
        <v>3</v>
      </c>
      <c r="R8" s="64">
        <f>SUMPRODUCT((Gemini_FewShot!V3:V32=1)*(Avaliacao_Humana!V3:V32=0))</f>
        <v>4</v>
      </c>
      <c r="S8" s="64">
        <f>SUMPRODUCT((Gemini_FewShot!W3:W32=1)*(Avaliacao_Humana!W3:W32=0))</f>
        <v>1</v>
      </c>
      <c r="T8" s="64">
        <f>SUMPRODUCT((Gemini_FewShot!X3:X32=1)*(Avaliacao_Humana!X3:X32=0))</f>
        <v>1</v>
      </c>
      <c r="U8" s="64">
        <f>SUMPRODUCT((Gemini_FewShot!Y3:Y32=1)*(Avaliacao_Humana!Y3:Y32=0))</f>
        <v>0</v>
      </c>
      <c r="V8" s="64">
        <f>SUMPRODUCT((Gemini_FewShot!AA3:AA32=1)*(Avaliacao_Humana!AA3:AA32=0))</f>
        <v>0</v>
      </c>
      <c r="W8" s="64">
        <f>SUMPRODUCT((Gemini_FewShot!AB3:AB32=1)*(Avaliacao_Humana!AB3:AB32=0))</f>
        <v>1</v>
      </c>
      <c r="X8" s="64">
        <f>SUMPRODUCT((Gemini_FewShot!AC3:AC32=1)*(Avaliacao_Humana!AC3:AC32=0))</f>
        <v>0</v>
      </c>
      <c r="Y8" s="64">
        <f>SUMPRODUCT((Gemini_FewShot!AD3:AD32=1)*(Avaliacao_Humana!AD3:AD32=0))</f>
        <v>0</v>
      </c>
      <c r="Z8" s="64">
        <f>SUMPRODUCT((Gemini_FewShot!AE3:AE32=1)*(Avaliacao_Humana!AE3:AE32=0))</f>
        <v>0</v>
      </c>
      <c r="AA8" s="64">
        <f>SUMPRODUCT((Gemini_FewShot!AG3:AG32=1)*(Avaliacao_Humana!AG3:AG32=0))</f>
        <v>0</v>
      </c>
      <c r="AB8" s="64">
        <f>SUMPRODUCT((Gemini_FewShot!AH3:AH32=1)*(Avaliacao_Humana!AH3:AH32=0))</f>
        <v>3</v>
      </c>
      <c r="AC8" s="64">
        <f>SUMPRODUCT((Gemini_FewShot!AI3:AI32=1)*(Avaliacao_Humana!AI3:AI32=0))</f>
        <v>13</v>
      </c>
      <c r="AD8" s="64">
        <f>SUMPRODUCT((Gemini_FewShot!AJ3:AJ32=1)*(Avaliacao_Humana!AJ3:AJ32=0))</f>
        <v>24</v>
      </c>
      <c r="AE8" s="64">
        <f>SUMPRODUCT((Gemini_FewShot!AK3:AK32=1)*(Avaliacao_Humana!AK3:AK32=0))</f>
        <v>24</v>
      </c>
      <c r="AF8" s="80">
        <f t="shared" si="1"/>
        <v>83</v>
      </c>
    </row>
    <row r="9" ht="15.75" customHeight="1">
      <c r="A9" s="54" t="s">
        <v>127</v>
      </c>
      <c r="B9" s="67">
        <f>SUMPRODUCT((Gemini_CoT!C3:C32=1)*(Avaliacao_Humana!C3:C32=0))</f>
        <v>0</v>
      </c>
      <c r="C9" s="67">
        <f>SUMPRODUCT((Gemini_CoT!D3:D32=1)*(Avaliacao_Humana!D3:D32=0))</f>
        <v>0</v>
      </c>
      <c r="D9" s="67">
        <f>SUMPRODUCT((Gemini_CoT!E3:E32=1)*(Avaliacao_Humana!E3:E32=0))</f>
        <v>0</v>
      </c>
      <c r="E9" s="67">
        <f>SUMPRODUCT((Gemini_CoT!F3:F32=1)*(Avaliacao_Humana!F3:F32=0))</f>
        <v>1</v>
      </c>
      <c r="F9" s="67">
        <f>SUMPRODUCT((Gemini_CoT!G3:G32=1)*(Avaliacao_Humana!G3:G32=0))</f>
        <v>1</v>
      </c>
      <c r="G9" s="67">
        <f>SUMPRODUCT((Gemini_CoT!I3:I32=1)*(Avaliacao_Humana!I3:I32=0))</f>
        <v>0</v>
      </c>
      <c r="H9" s="67">
        <f>SUMPRODUCT((Gemini_CoT!J3:J32=1)*(Avaliacao_Humana!J3:J32=0))</f>
        <v>0</v>
      </c>
      <c r="I9" s="67">
        <f>SUMPRODUCT((Gemini_CoT!K3:K32=1)*(Avaliacao_Humana!K3:K32=0))</f>
        <v>0</v>
      </c>
      <c r="J9" s="67">
        <f>SUMPRODUCT((Gemini_CoT!L3:L32=1)*(Avaliacao_Humana!L3:L32=0))</f>
        <v>0</v>
      </c>
      <c r="K9" s="67">
        <f>SUMPRODUCT((Gemini_CoT!M3:M32=1)*(Avaliacao_Humana!M3:M32=0))</f>
        <v>0</v>
      </c>
      <c r="L9" s="67">
        <f>SUMPRODUCT((Gemini_CoT!O3:O32=1)*(Avaliacao_Humana!O3:O32=0))</f>
        <v>0</v>
      </c>
      <c r="M9" s="67">
        <f>SUMPRODUCT((Gemini_CoT!P3:P32=1)*(Avaliacao_Humana!P3:P32=0))</f>
        <v>0</v>
      </c>
      <c r="N9" s="67">
        <f>SUMPRODUCT((Gemini_CoT!Q3:Q32=1)*(Avaliacao_Humana!Q3:Q32=0))</f>
        <v>0</v>
      </c>
      <c r="O9" s="67">
        <f>SUMPRODUCT((Gemini_CoT!R3:R32=1)*(Avaliacao_Humana!R3:R32=0))</f>
        <v>0</v>
      </c>
      <c r="P9" s="67">
        <f>SUMPRODUCT((Gemini_CoT!S3:S32=1)*(Avaliacao_Humana!S3:S32=0))</f>
        <v>0</v>
      </c>
      <c r="Q9" s="67">
        <f>SUMPRODUCT((Gemini_CoT!U3:U32=1)*(Avaliacao_Humana!U3:U32=0))</f>
        <v>0</v>
      </c>
      <c r="R9" s="67">
        <f>SUMPRODUCT((Gemini_CoT!V3:V32=1)*(Avaliacao_Humana!V3:V32=0))</f>
        <v>1</v>
      </c>
      <c r="S9" s="67">
        <f>SUMPRODUCT((Gemini_CoT!W3:W32=1)*(Avaliacao_Humana!W3:W32=0))</f>
        <v>1</v>
      </c>
      <c r="T9" s="67">
        <f>SUMPRODUCT((Gemini_CoT!X3:X32=1)*(Avaliacao_Humana!X3:X32=0))</f>
        <v>1</v>
      </c>
      <c r="U9" s="67">
        <f>SUMPRODUCT((Gemini_CoT!Y3:Y32=1)*(Avaliacao_Humana!Y3:Y32=0))</f>
        <v>0</v>
      </c>
      <c r="V9" s="67">
        <f>SUMPRODUCT((Gemini_CoT!AA3:AA32=1)*(Avaliacao_Humana!AA3:AA32=0))</f>
        <v>0</v>
      </c>
      <c r="W9" s="67">
        <f>SUMPRODUCT((Gemini_CoT!AB3:AB32=1)*(Avaliacao_Humana!AB3:AB32=0))</f>
        <v>1</v>
      </c>
      <c r="X9" s="67">
        <f>SUMPRODUCT((Gemini_CoT!AC3:AC32=1)*(Avaliacao_Humana!AC3:AC32=0))</f>
        <v>0</v>
      </c>
      <c r="Y9" s="67">
        <f>SUMPRODUCT((Gemini_CoT!AD3:AD32=1)*(Avaliacao_Humana!AD3:AD32=0))</f>
        <v>0</v>
      </c>
      <c r="Z9" s="67">
        <f>SUMPRODUCT((Gemini_CoT!AE3:AE32=1)*(Avaliacao_Humana!AE3:AE32=0))</f>
        <v>0</v>
      </c>
      <c r="AA9" s="67">
        <f>SUMPRODUCT((Gemini_CoT!AG3:AG32=1)*(Avaliacao_Humana!AG3:AG32=0))</f>
        <v>0</v>
      </c>
      <c r="AB9" s="67">
        <f>SUMPRODUCT((Gemini_CoT!AH3:AH32=1)*(Avaliacao_Humana!AH3:AH32=0))</f>
        <v>0</v>
      </c>
      <c r="AC9" s="67">
        <f>SUMPRODUCT((Gemini_CoT!AI3:AI32=1)*(Avaliacao_Humana!AI3:AI32=0))</f>
        <v>0</v>
      </c>
      <c r="AD9" s="67">
        <f>SUMPRODUCT((Gemini_CoT!AJ3:AJ32=1)*(Avaliacao_Humana!AJ3:AJ32=0))</f>
        <v>1</v>
      </c>
      <c r="AE9" s="67">
        <f>SUMPRODUCT((Gemini_CoT!AK3:AK32=1)*(Avaliacao_Humana!AK3:AK32=0))</f>
        <v>0</v>
      </c>
      <c r="AF9" s="80">
        <f t="shared" si="1"/>
        <v>7</v>
      </c>
    </row>
    <row r="10" ht="15.75" customHeight="1">
      <c r="A10" s="58" t="s">
        <v>128</v>
      </c>
      <c r="B10" s="64">
        <f>SUMPRODUCT((Claude_ZeroShot!C3:C32=1)*(Avaliacao_Humana!C3:C32=0))</f>
        <v>0</v>
      </c>
      <c r="C10" s="64">
        <f>SUMPRODUCT((Claude_ZeroShot!D3:D32=1)*(Avaliacao_Humana!D3:D32=0))</f>
        <v>0</v>
      </c>
      <c r="D10" s="64">
        <f>SUMPRODUCT((Claude_ZeroShot!E3:E32=1)*(Avaliacao_Humana!E3:E32=0))</f>
        <v>0</v>
      </c>
      <c r="E10" s="64">
        <f>SUMPRODUCT((Claude_ZeroShot!F3:F32=1)*(Avaliacao_Humana!F3:F32=0))</f>
        <v>1</v>
      </c>
      <c r="F10" s="64">
        <f>SUMPRODUCT((Claude_ZeroShot!G3:G32=1)*(Avaliacao_Humana!G3:G32=0))</f>
        <v>1</v>
      </c>
      <c r="G10" s="64">
        <f>SUMPRODUCT((Claude_ZeroShot!I3:I32=1)*(Avaliacao_Humana!I3:I32=0))</f>
        <v>0</v>
      </c>
      <c r="H10" s="64">
        <f>SUMPRODUCT((Claude_ZeroShot!J3:J32=1)*(Avaliacao_Humana!J3:J32=0))</f>
        <v>0</v>
      </c>
      <c r="I10" s="64">
        <f>SUMPRODUCT((Claude_ZeroShot!K3:K32=1)*(Avaliacao_Humana!K3:K32=0))</f>
        <v>1</v>
      </c>
      <c r="J10" s="64">
        <f>SUMPRODUCT((Claude_ZeroShot!L3:L32=1)*(Avaliacao_Humana!L3:L32=0))</f>
        <v>0</v>
      </c>
      <c r="K10" s="64">
        <f>SUMPRODUCT((Claude_ZeroShot!M3:M32=1)*(Avaliacao_Humana!M3:M32=0))</f>
        <v>0</v>
      </c>
      <c r="L10" s="64">
        <f>SUMPRODUCT((Claude_ZeroShot!O3:O32=1)*(Avaliacao_Humana!O3:O32=0))</f>
        <v>3</v>
      </c>
      <c r="M10" s="64">
        <f>SUMPRODUCT((Claude_ZeroShot!P3:P32=1)*(Avaliacao_Humana!P3:P32=0))</f>
        <v>3</v>
      </c>
      <c r="N10" s="64">
        <f>SUMPRODUCT((Claude_ZeroShot!Q3:Q32=1)*(Avaliacao_Humana!Q3:Q32=0))</f>
        <v>2</v>
      </c>
      <c r="O10" s="64">
        <f>SUMPRODUCT((Claude_ZeroShot!R3:R32=1)*(Avaliacao_Humana!R3:R32=0))</f>
        <v>0</v>
      </c>
      <c r="P10" s="64">
        <f>SUMPRODUCT((Claude_ZeroShot!S3:S32=1)*(Avaliacao_Humana!S3:S32=0))</f>
        <v>1</v>
      </c>
      <c r="Q10" s="64">
        <f>SUMPRODUCT((Claude_ZeroShot!U3:U32=1)*(Avaliacao_Humana!U3:U32=0))</f>
        <v>4</v>
      </c>
      <c r="R10" s="64">
        <f>SUMPRODUCT((Claude_ZeroShot!V3:V32=1)*(Avaliacao_Humana!V3:V32=0))</f>
        <v>1</v>
      </c>
      <c r="S10" s="64">
        <f>SUMPRODUCT((Claude_ZeroShot!W3:W32=1)*(Avaliacao_Humana!W3:W32=0))</f>
        <v>11</v>
      </c>
      <c r="T10" s="64">
        <f>SUMPRODUCT((Claude_ZeroShot!X3:X32=1)*(Avaliacao_Humana!X3:X32=0))</f>
        <v>1</v>
      </c>
      <c r="U10" s="64">
        <f>SUMPRODUCT((Claude_ZeroShot!Y3:Y32=1)*(Avaliacao_Humana!Y3:Y32=0))</f>
        <v>0</v>
      </c>
      <c r="V10" s="64">
        <f>SUMPRODUCT((Claude_ZeroShot!AA3:AA32=1)*(Avaliacao_Humana!AA3:AA32=0))</f>
        <v>2</v>
      </c>
      <c r="W10" s="64">
        <f>SUMPRODUCT((Claude_ZeroShot!AB3:AB32=1)*(Avaliacao_Humana!AB3:AB32=0))</f>
        <v>1</v>
      </c>
      <c r="X10" s="64">
        <f>SUMPRODUCT((Claude_ZeroShot!AC3:AC32=1)*(Avaliacao_Humana!AC3:AC32=0))</f>
        <v>0</v>
      </c>
      <c r="Y10" s="64">
        <f>SUMPRODUCT((Claude_ZeroShot!AD3:AD32=1)*(Avaliacao_Humana!AD3:AD32=0))</f>
        <v>0</v>
      </c>
      <c r="Z10" s="64">
        <f>SUMPRODUCT((Claude_ZeroShot!AE3:AE32=1)*(Avaliacao_Humana!AE3:AE32=0))</f>
        <v>0</v>
      </c>
      <c r="AA10" s="64">
        <f>SUMPRODUCT((Claude_ZeroShot!AG3:AG32=1)*(Avaliacao_Humana!AG3:AG32=0))</f>
        <v>0</v>
      </c>
      <c r="AB10" s="64">
        <f>SUMPRODUCT((Claude_ZeroShot!AH3:AH32=1)*(Avaliacao_Humana!AH3:AH32=0))</f>
        <v>4</v>
      </c>
      <c r="AC10" s="64">
        <f>SUMPRODUCT((Claude_ZeroShot!AI3:AI32=1)*(Avaliacao_Humana!AI3:AI32=0))</f>
        <v>9</v>
      </c>
      <c r="AD10" s="64">
        <f>SUMPRODUCT((Claude_ZeroShot!AJ3:AJ32=1)*(Avaliacao_Humana!AJ3:AJ32=0))</f>
        <v>20</v>
      </c>
      <c r="AE10" s="64">
        <f>SUMPRODUCT((Claude_ZeroShot!AK3:AK32=1)*(Avaliacao_Humana!AK3:AK32=0))</f>
        <v>13</v>
      </c>
      <c r="AF10" s="80">
        <f t="shared" si="1"/>
        <v>78</v>
      </c>
    </row>
    <row r="11" ht="15.75" customHeight="1">
      <c r="A11" s="54" t="s">
        <v>129</v>
      </c>
      <c r="B11" s="67">
        <f>SUMPRODUCT((Claude_FewShot!C3:C32=1)*(Avaliacao_Humana!C3:C32=0))</f>
        <v>0</v>
      </c>
      <c r="C11" s="67">
        <f>SUMPRODUCT((Claude_FewShot!D3:D32=1)*(Avaliacao_Humana!D3:D32=0))</f>
        <v>0</v>
      </c>
      <c r="D11" s="67">
        <f>SUMPRODUCT((Claude_FewShot!E3:E32=1)*(Avaliacao_Humana!E3:E32=0))</f>
        <v>0</v>
      </c>
      <c r="E11" s="67">
        <f>SUMPRODUCT((Claude_FewShot!F3:F32=1)*(Avaliacao_Humana!F3:F32=0))</f>
        <v>1</v>
      </c>
      <c r="F11" s="67">
        <f>SUMPRODUCT((Claude_FewShot!G3:G32=1)*(Avaliacao_Humana!G3:G32=0))</f>
        <v>1</v>
      </c>
      <c r="G11" s="67">
        <f>SUMPRODUCT((Claude_FewShot!I3:I32=1)*(Avaliacao_Humana!I3:I32=0))</f>
        <v>0</v>
      </c>
      <c r="H11" s="67">
        <f>SUMPRODUCT((Claude_FewShot!J3:J32=1)*(Avaliacao_Humana!J3:J32=0))</f>
        <v>2</v>
      </c>
      <c r="I11" s="67">
        <f>SUMPRODUCT((Claude_FewShot!K3:K32=1)*(Avaliacao_Humana!K3:K32=0))</f>
        <v>0</v>
      </c>
      <c r="J11" s="67">
        <f>SUMPRODUCT((Claude_FewShot!L3:L32=1)*(Avaliacao_Humana!L3:L32=0))</f>
        <v>0</v>
      </c>
      <c r="K11" s="67">
        <f>SUMPRODUCT((Claude_FewShot!M3:M32=1)*(Avaliacao_Humana!M3:M32=0))</f>
        <v>0</v>
      </c>
      <c r="L11" s="67">
        <f>SUMPRODUCT((Claude_FewShot!O3:O32=1)*(Avaliacao_Humana!O3:O32=0))</f>
        <v>0</v>
      </c>
      <c r="M11" s="67">
        <f>SUMPRODUCT((Claude_FewShot!P3:P32=1)*(Avaliacao_Humana!P3:P32=0))</f>
        <v>1</v>
      </c>
      <c r="N11" s="67">
        <f>SUMPRODUCT((Claude_FewShot!Q3:Q32=1)*(Avaliacao_Humana!Q3:Q32=0))</f>
        <v>0</v>
      </c>
      <c r="O11" s="67">
        <f>SUMPRODUCT((Claude_FewShot!R3:R32=1)*(Avaliacao_Humana!R3:R32=0))</f>
        <v>0</v>
      </c>
      <c r="P11" s="67">
        <f>SUMPRODUCT((Claude_FewShot!S3:S32=1)*(Avaliacao_Humana!S3:S32=0))</f>
        <v>0</v>
      </c>
      <c r="Q11" s="67">
        <f>SUMPRODUCT((Claude_FewShot!U3:U32=1)*(Avaliacao_Humana!U3:U32=0))</f>
        <v>0</v>
      </c>
      <c r="R11" s="67">
        <f>SUMPRODUCT((Claude_FewShot!V3:V32=1)*(Avaliacao_Humana!V3:V32=0))</f>
        <v>0</v>
      </c>
      <c r="S11" s="67">
        <f>SUMPRODUCT((Claude_FewShot!W3:W32=1)*(Avaliacao_Humana!W3:W32=0))</f>
        <v>2</v>
      </c>
      <c r="T11" s="67">
        <f>SUMPRODUCT((Claude_FewShot!X3:X32=1)*(Avaliacao_Humana!X3:X32=0))</f>
        <v>1</v>
      </c>
      <c r="U11" s="67">
        <f>SUMPRODUCT((Claude_FewShot!Y3:Y32=1)*(Avaliacao_Humana!Y3:Y32=0))</f>
        <v>0</v>
      </c>
      <c r="V11" s="67">
        <f>SUMPRODUCT((Claude_FewShot!AA3:AA32=1)*(Avaliacao_Humana!AA3:AA32=0))</f>
        <v>0</v>
      </c>
      <c r="W11" s="67">
        <f>SUMPRODUCT((Claude_FewShot!AB3:AB32=1)*(Avaliacao_Humana!AB3:AB32=0))</f>
        <v>1</v>
      </c>
      <c r="X11" s="67">
        <f>SUMPRODUCT((Claude_FewShot!AC3:AC32=1)*(Avaliacao_Humana!AC3:AC32=0))</f>
        <v>0</v>
      </c>
      <c r="Y11" s="67">
        <f>SUMPRODUCT((Claude_FewShot!AD3:AD32=1)*(Avaliacao_Humana!AD3:AD32=0))</f>
        <v>0</v>
      </c>
      <c r="Z11" s="67">
        <f>SUMPRODUCT((Claude_FewShot!AE3:AE32=1)*(Avaliacao_Humana!AE3:AE32=0))</f>
        <v>0</v>
      </c>
      <c r="AA11" s="67">
        <f>SUMPRODUCT((Claude_FewShot!AG3:AG32=1)*(Avaliacao_Humana!AG3:AG32=0))</f>
        <v>0</v>
      </c>
      <c r="AB11" s="67">
        <f>SUMPRODUCT((Claude_FewShot!AH3:AH32=1)*(Avaliacao_Humana!AH3:AH32=0))</f>
        <v>0</v>
      </c>
      <c r="AC11" s="67">
        <f>SUMPRODUCT((Claude_FewShot!AI3:AI32=1)*(Avaliacao_Humana!AI3:AI32=0))</f>
        <v>2</v>
      </c>
      <c r="AD11" s="67">
        <f>SUMPRODUCT((Claude_FewShot!AJ3:AJ32=1)*(Avaliacao_Humana!AJ3:AJ32=0))</f>
        <v>1</v>
      </c>
      <c r="AE11" s="67">
        <f>SUMPRODUCT((Claude_FewShot!AK3:AK32=1)*(Avaliacao_Humana!AK3:AK32=0))</f>
        <v>0</v>
      </c>
      <c r="AF11" s="80">
        <f t="shared" si="1"/>
        <v>12</v>
      </c>
    </row>
    <row r="12" ht="15.75" customHeight="1">
      <c r="A12" s="58" t="s">
        <v>130</v>
      </c>
      <c r="B12" s="64">
        <f>SUMPRODUCT((Claude_CoT!C3:C32=1)*(Avaliacao_Humana!C3:C32=0))</f>
        <v>0</v>
      </c>
      <c r="C12" s="64">
        <f>SUMPRODUCT((Claude_CoT!D3:D32=1)*(Avaliacao_Humana!D3:D32=0))</f>
        <v>0</v>
      </c>
      <c r="D12" s="64">
        <f>SUMPRODUCT((Claude_CoT!E3:E32=1)*(Avaliacao_Humana!E3:E32=0))</f>
        <v>0</v>
      </c>
      <c r="E12" s="64">
        <f>SUMPRODUCT((Claude_CoT!F3:F32=1)*(Avaliacao_Humana!F3:F32=0))</f>
        <v>1</v>
      </c>
      <c r="F12" s="64">
        <f>SUMPRODUCT((Claude_CoT!G3:G32=1)*(Avaliacao_Humana!G3:G32=0))</f>
        <v>1</v>
      </c>
      <c r="G12" s="64">
        <f>SUMPRODUCT((Claude_CoT!I3:I32=1)*(Avaliacao_Humana!I3:I32=0))</f>
        <v>0</v>
      </c>
      <c r="H12" s="64">
        <f>SUMPRODUCT((Claude_CoT!J3:J32=1)*(Avaliacao_Humana!J3:J32=0))</f>
        <v>0</v>
      </c>
      <c r="I12" s="64">
        <f>SUMPRODUCT((Claude_CoT!K3:K32=1)*(Avaliacao_Humana!K3:K32=0))</f>
        <v>1</v>
      </c>
      <c r="J12" s="64">
        <f>SUMPRODUCT((Claude_CoT!L3:L32=1)*(Avaliacao_Humana!L3:L32=0))</f>
        <v>0</v>
      </c>
      <c r="K12" s="64">
        <f>SUMPRODUCT((Claude_CoT!M3:M32=1)*(Avaliacao_Humana!M3:M32=0))</f>
        <v>0</v>
      </c>
      <c r="L12" s="64">
        <f>SUMPRODUCT((Claude_CoT!O3:O32=1)*(Avaliacao_Humana!O3:O32=0))</f>
        <v>1</v>
      </c>
      <c r="M12" s="64">
        <f>SUMPRODUCT((Claude_CoT!P3:P32=1)*(Avaliacao_Humana!P3:P32=0))</f>
        <v>2</v>
      </c>
      <c r="N12" s="64">
        <f>SUMPRODUCT((Claude_CoT!Q3:Q32=1)*(Avaliacao_Humana!Q3:Q32=0))</f>
        <v>1</v>
      </c>
      <c r="O12" s="64">
        <f>SUMPRODUCT((Claude_CoT!R3:R32=1)*(Avaliacao_Humana!R3:R32=0))</f>
        <v>0</v>
      </c>
      <c r="P12" s="64">
        <f>SUMPRODUCT((Claude_CoT!S3:S32=1)*(Avaliacao_Humana!S3:S32=0))</f>
        <v>0</v>
      </c>
      <c r="Q12" s="64">
        <f>SUMPRODUCT((Claude_CoT!U3:U32=1)*(Avaliacao_Humana!U3:U32=0))</f>
        <v>2</v>
      </c>
      <c r="R12" s="64">
        <f>SUMPRODUCT((Claude_CoT!V3:V32=1)*(Avaliacao_Humana!V3:V32=0))</f>
        <v>0</v>
      </c>
      <c r="S12" s="64">
        <f>SUMPRODUCT((Claude_CoT!W3:W32=1)*(Avaliacao_Humana!W3:W32=0))</f>
        <v>4</v>
      </c>
      <c r="T12" s="64">
        <f>SUMPRODUCT((Claude_CoT!X3:X32=1)*(Avaliacao_Humana!X3:X32=0))</f>
        <v>1</v>
      </c>
      <c r="U12" s="64">
        <f>SUMPRODUCT((Claude_CoT!Y3:Y32=1)*(Avaliacao_Humana!Y3:Y32=0))</f>
        <v>0</v>
      </c>
      <c r="V12" s="64">
        <f>SUMPRODUCT((Claude_CoT!AA3:AA32=1)*(Avaliacao_Humana!AA3:AA32=0))</f>
        <v>0</v>
      </c>
      <c r="W12" s="64">
        <f>SUMPRODUCT((Claude_CoT!AB3:AB32=1)*(Avaliacao_Humana!AB3:AB32=0))</f>
        <v>1</v>
      </c>
      <c r="X12" s="64">
        <f>SUMPRODUCT((Claude_CoT!AC3:AC32=1)*(Avaliacao_Humana!AC3:AC32=0))</f>
        <v>0</v>
      </c>
      <c r="Y12" s="64">
        <f>SUMPRODUCT((Claude_CoT!AD3:AD32=1)*(Avaliacao_Humana!AD3:AD32=0))</f>
        <v>0</v>
      </c>
      <c r="Z12" s="64">
        <f>SUMPRODUCT((Claude_CoT!AE3:AE32=1)*(Avaliacao_Humana!AE3:AE32=0))</f>
        <v>0</v>
      </c>
      <c r="AA12" s="64">
        <f>SUMPRODUCT((Claude_CoT!AG3:AG32=1)*(Avaliacao_Humana!AG3:AG32=0))</f>
        <v>0</v>
      </c>
      <c r="AB12" s="64">
        <f>SUMPRODUCT((Claude_CoT!AH3:AH32=1)*(Avaliacao_Humana!AH3:AH32=0))</f>
        <v>1</v>
      </c>
      <c r="AC12" s="64">
        <f>SUMPRODUCT((Claude_CoT!AI3:AI32=1)*(Avaliacao_Humana!AI3:AI32=0))</f>
        <v>0</v>
      </c>
      <c r="AD12" s="64">
        <f>SUMPRODUCT((Claude_CoT!AJ3:AJ32=1)*(Avaliacao_Humana!AJ3:AJ32=0))</f>
        <v>2</v>
      </c>
      <c r="AE12" s="64">
        <f>SUMPRODUCT((Claude_CoT!AK3:AK32=1)*(Avaliacao_Humana!AK3:AK32=0))</f>
        <v>0</v>
      </c>
      <c r="AF12" s="80">
        <f t="shared" si="1"/>
        <v>18</v>
      </c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</row>
    <row r="16" ht="21.75" customHeight="1">
      <c r="A16" s="81" t="s">
        <v>197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3"/>
    </row>
    <row r="17" ht="27.75" customHeight="1">
      <c r="A17" s="38" t="s">
        <v>195</v>
      </c>
      <c r="B17" s="39" t="s">
        <v>3</v>
      </c>
      <c r="C17" s="39" t="s">
        <v>4</v>
      </c>
      <c r="D17" s="39" t="s">
        <v>5</v>
      </c>
      <c r="E17" s="39" t="s">
        <v>6</v>
      </c>
      <c r="F17" s="39" t="s">
        <v>7</v>
      </c>
      <c r="G17" s="40" t="s">
        <v>9</v>
      </c>
      <c r="H17" s="40" t="s">
        <v>10</v>
      </c>
      <c r="I17" s="40" t="s">
        <v>11</v>
      </c>
      <c r="J17" s="40" t="s">
        <v>12</v>
      </c>
      <c r="K17" s="40" t="s">
        <v>13</v>
      </c>
      <c r="L17" s="41" t="s">
        <v>15</v>
      </c>
      <c r="M17" s="41" t="s">
        <v>16</v>
      </c>
      <c r="N17" s="41" t="s">
        <v>17</v>
      </c>
      <c r="O17" s="41" t="s">
        <v>18</v>
      </c>
      <c r="P17" s="41" t="s">
        <v>19</v>
      </c>
      <c r="Q17" s="42" t="s">
        <v>21</v>
      </c>
      <c r="R17" s="42" t="s">
        <v>22</v>
      </c>
      <c r="S17" s="42" t="s">
        <v>23</v>
      </c>
      <c r="T17" s="42" t="s">
        <v>24</v>
      </c>
      <c r="U17" s="42" t="s">
        <v>25</v>
      </c>
      <c r="V17" s="43" t="s">
        <v>27</v>
      </c>
      <c r="W17" s="43" t="s">
        <v>28</v>
      </c>
      <c r="X17" s="43" t="s">
        <v>29</v>
      </c>
      <c r="Y17" s="43" t="s">
        <v>30</v>
      </c>
      <c r="Z17" s="43" t="s">
        <v>31</v>
      </c>
      <c r="AA17" s="44" t="s">
        <v>33</v>
      </c>
      <c r="AB17" s="44" t="s">
        <v>34</v>
      </c>
      <c r="AC17" s="44" t="s">
        <v>35</v>
      </c>
      <c r="AD17" s="44" t="s">
        <v>36</v>
      </c>
      <c r="AE17" s="44" t="s">
        <v>37</v>
      </c>
      <c r="AF17" s="38" t="s">
        <v>198</v>
      </c>
    </row>
    <row r="18" ht="15.75" customHeight="1">
      <c r="A18" s="58" t="s">
        <v>122</v>
      </c>
      <c r="B18" s="64">
        <f>SUMPRODUCT((ChatGPT_ZeroShot!C3:C32=0)*(Avaliacao_Humana!C3:C32=1))</f>
        <v>0</v>
      </c>
      <c r="C18" s="64">
        <f>SUMPRODUCT((ChatGPT_ZeroShot!D3:D32=0)*(Avaliacao_Humana!D3:D32=1))</f>
        <v>1</v>
      </c>
      <c r="D18" s="64">
        <f>SUMPRODUCT((ChatGPT_ZeroShot!E3:E32=0)*(Avaliacao_Humana!E3:E32=1))</f>
        <v>1</v>
      </c>
      <c r="E18" s="64">
        <f>SUMPRODUCT((ChatGPT_ZeroShot!F3:F32=0)*(Avaliacao_Humana!F3:F32=1))</f>
        <v>1</v>
      </c>
      <c r="F18" s="64">
        <f>SUMPRODUCT((ChatGPT_ZeroShot!G3:G32=0)*(Avaliacao_Humana!G3:G32=1))</f>
        <v>0</v>
      </c>
      <c r="G18" s="64">
        <f>SUMPRODUCT((ChatGPT_ZeroShot!I3:I32=0)*(Avaliacao_Humana!I3:I32=1))</f>
        <v>1</v>
      </c>
      <c r="H18" s="64">
        <f>SUMPRODUCT((ChatGPT_ZeroShot!J3:J32=0)*(Avaliacao_Humana!J3:J32=1))</f>
        <v>0</v>
      </c>
      <c r="I18" s="64">
        <f>SUMPRODUCT((ChatGPT_ZeroShot!K3:K32=0)*(Avaliacao_Humana!K3:K32=1))</f>
        <v>0</v>
      </c>
      <c r="J18" s="64">
        <f>SUMPRODUCT((ChatGPT_ZeroShot!L3:L32=0)*(Avaliacao_Humana!L3:L32=1))</f>
        <v>2</v>
      </c>
      <c r="K18" s="64">
        <f>SUMPRODUCT((ChatGPT_ZeroShot!M3:M32=0)*(Avaliacao_Humana!M3:M32=1))</f>
        <v>3</v>
      </c>
      <c r="L18" s="64">
        <f>SUMPRODUCT((ChatGPT_ZeroShot!O3:O32=0)*(Avaliacao_Humana!O3:O32=1))</f>
        <v>1</v>
      </c>
      <c r="M18" s="64">
        <f>SUMPRODUCT((ChatGPT_ZeroShot!P3:P32=0)*(Avaliacao_Humana!P3:P32=1))</f>
        <v>0</v>
      </c>
      <c r="N18" s="64">
        <f>SUMPRODUCT((ChatGPT_ZeroShot!Q3:Q32=0)*(Avaliacao_Humana!Q3:Q32=1))</f>
        <v>4</v>
      </c>
      <c r="O18" s="64">
        <f>SUMPRODUCT((ChatGPT_ZeroShot!R3:R32=0)*(Avaliacao_Humana!R3:R32=1))</f>
        <v>1</v>
      </c>
      <c r="P18" s="64">
        <f>SUMPRODUCT((ChatGPT_ZeroShot!S3:S32=0)*(Avaliacao_Humana!S3:S32=1))</f>
        <v>1</v>
      </c>
      <c r="Q18" s="64">
        <f>SUMPRODUCT((ChatGPT_ZeroShot!U3:U32=0)*(Avaliacao_Humana!U3:U32=1))</f>
        <v>6</v>
      </c>
      <c r="R18" s="64">
        <f>SUMPRODUCT((ChatGPT_ZeroShot!V3:V32=0)*(Avaliacao_Humana!V3:V32=1))</f>
        <v>4</v>
      </c>
      <c r="S18" s="64">
        <f>SUMPRODUCT((ChatGPT_ZeroShot!W3:W32=0)*(Avaliacao_Humana!W3:W32=1))</f>
        <v>4</v>
      </c>
      <c r="T18" s="64">
        <f>SUMPRODUCT((ChatGPT_ZeroShot!X3:X32=0)*(Avaliacao_Humana!X3:X32=1))</f>
        <v>0</v>
      </c>
      <c r="U18" s="64">
        <f>SUMPRODUCT((ChatGPT_ZeroShot!Y3:Y32=0)*(Avaliacao_Humana!Y3:Y32=1))</f>
        <v>0</v>
      </c>
      <c r="V18" s="64">
        <f>SUMPRODUCT((ChatGPT_ZeroShot!AA3:AA32=0)*(Avaliacao_Humana!AA3:AA32=1))</f>
        <v>0</v>
      </c>
      <c r="W18" s="64">
        <f>SUMPRODUCT((ChatGPT_ZeroShot!AB3:AB32=0)*(Avaliacao_Humana!AB3:AB32=1))</f>
        <v>0</v>
      </c>
      <c r="X18" s="64">
        <f>SUMPRODUCT((ChatGPT_ZeroShot!AC3:AC32=0)*(Avaliacao_Humana!AC3:AC32=1))</f>
        <v>0</v>
      </c>
      <c r="Y18" s="64">
        <f>SUMPRODUCT((ChatGPT_ZeroShot!AD3:AD32=0)*(Avaliacao_Humana!AD3:AD32=1))</f>
        <v>1</v>
      </c>
      <c r="Z18" s="64">
        <f>SUMPRODUCT((ChatGPT_ZeroShot!AE3:AE32=0)*(Avaliacao_Humana!AE3:AE32=1))</f>
        <v>0</v>
      </c>
      <c r="AA18" s="64">
        <f>SUMPRODUCT((ChatGPT_ZeroShot!AG3:AG32=0)*(Avaliacao_Humana!AG3:AG32=1))</f>
        <v>0</v>
      </c>
      <c r="AB18" s="64">
        <f>SUMPRODUCT((ChatGPT_ZeroShot!AH3:AH32=0)*(Avaliacao_Humana!AH3:AH32=1))</f>
        <v>10</v>
      </c>
      <c r="AC18" s="64">
        <f>SUMPRODUCT((ChatGPT_ZeroShot!AI3:AI32=0)*(Avaliacao_Humana!AI3:AI32=1))</f>
        <v>0</v>
      </c>
      <c r="AD18" s="64">
        <f>SUMPRODUCT((ChatGPT_ZeroShot!AJ3:AJ32=0)*(Avaliacao_Humana!AJ3:AJ32=1))</f>
        <v>0</v>
      </c>
      <c r="AE18" s="64">
        <f>SUMPRODUCT((ChatGPT_ZeroShot!AK3:AK32=0)*(Avaliacao_Humana!AK3:AK32=1))</f>
        <v>0</v>
      </c>
      <c r="AF18" s="82">
        <f t="shared" ref="AF18:AF26" si="2">SUM(B18:AE18)</f>
        <v>41</v>
      </c>
    </row>
    <row r="19" ht="15.75" customHeight="1">
      <c r="A19" s="54" t="s">
        <v>123</v>
      </c>
      <c r="B19" s="67">
        <f>SUMPRODUCT((ChatGPT_FewShot!C3:C32=0)*(Avaliacao_Humana!C3:C32=1))</f>
        <v>0</v>
      </c>
      <c r="C19" s="67">
        <f>SUMPRODUCT((ChatGPT_FewShot!D3:D32=0)*(Avaliacao_Humana!D3:D32=1))</f>
        <v>1</v>
      </c>
      <c r="D19" s="67">
        <f>SUMPRODUCT((ChatGPT_FewShot!E3:E32=0)*(Avaliacao_Humana!E3:E32=1))</f>
        <v>3</v>
      </c>
      <c r="E19" s="67">
        <f>SUMPRODUCT((ChatGPT_FewShot!F3:F32=0)*(Avaliacao_Humana!F3:F32=1))</f>
        <v>1</v>
      </c>
      <c r="F19" s="67">
        <f>SUMPRODUCT((ChatGPT_FewShot!G3:G32=0)*(Avaliacao_Humana!G3:G32=1))</f>
        <v>0</v>
      </c>
      <c r="G19" s="67">
        <f>SUMPRODUCT((ChatGPT_FewShot!I3:I32=0)*(Avaliacao_Humana!I3:I32=1))</f>
        <v>3</v>
      </c>
      <c r="H19" s="67">
        <f>SUMPRODUCT((ChatGPT_FewShot!J3:J32=0)*(Avaliacao_Humana!J3:J32=1))</f>
        <v>0</v>
      </c>
      <c r="I19" s="67">
        <f>SUMPRODUCT((ChatGPT_FewShot!K3:K32=0)*(Avaliacao_Humana!K3:K32=1))</f>
        <v>3</v>
      </c>
      <c r="J19" s="67">
        <f>SUMPRODUCT((ChatGPT_FewShot!L3:L32=0)*(Avaliacao_Humana!L3:L32=1))</f>
        <v>1</v>
      </c>
      <c r="K19" s="67">
        <f>SUMPRODUCT((ChatGPT_FewShot!M3:M32=0)*(Avaliacao_Humana!M3:M32=1))</f>
        <v>2</v>
      </c>
      <c r="L19" s="67">
        <f>SUMPRODUCT((ChatGPT_FewShot!O3:O32=0)*(Avaliacao_Humana!O3:O32=1))</f>
        <v>3</v>
      </c>
      <c r="M19" s="67">
        <f>SUMPRODUCT((ChatGPT_FewShot!P3:P32=0)*(Avaliacao_Humana!P3:P32=1))</f>
        <v>2</v>
      </c>
      <c r="N19" s="67">
        <f>SUMPRODUCT((ChatGPT_FewShot!Q3:Q32=0)*(Avaliacao_Humana!Q3:Q32=1))</f>
        <v>2</v>
      </c>
      <c r="O19" s="67">
        <f>SUMPRODUCT((ChatGPT_FewShot!R3:R32=0)*(Avaliacao_Humana!R3:R32=1))</f>
        <v>2</v>
      </c>
      <c r="P19" s="67">
        <f>SUMPRODUCT((ChatGPT_FewShot!S3:S32=0)*(Avaliacao_Humana!S3:S32=1))</f>
        <v>1</v>
      </c>
      <c r="Q19" s="67">
        <f>SUMPRODUCT((ChatGPT_FewShot!U3:U32=0)*(Avaliacao_Humana!U3:U32=1))</f>
        <v>6</v>
      </c>
      <c r="R19" s="67">
        <f>SUMPRODUCT((ChatGPT_FewShot!V3:V32=0)*(Avaliacao_Humana!V3:V32=1))</f>
        <v>3</v>
      </c>
      <c r="S19" s="67">
        <f>SUMPRODUCT((ChatGPT_FewShot!W3:W32=0)*(Avaliacao_Humana!W3:W32=1))</f>
        <v>4</v>
      </c>
      <c r="T19" s="67">
        <f>SUMPRODUCT((ChatGPT_FewShot!X3:X32=0)*(Avaliacao_Humana!X3:X32=1))</f>
        <v>0</v>
      </c>
      <c r="U19" s="67">
        <f>SUMPRODUCT((ChatGPT_FewShot!Y3:Y32=0)*(Avaliacao_Humana!Y3:Y32=1))</f>
        <v>0</v>
      </c>
      <c r="V19" s="67">
        <f>SUMPRODUCT((ChatGPT_FewShot!AA3:AA32=0)*(Avaliacao_Humana!AA3:AA32=1))</f>
        <v>2</v>
      </c>
      <c r="W19" s="67">
        <f>SUMPRODUCT((ChatGPT_FewShot!AB3:AB32=0)*(Avaliacao_Humana!AB3:AB32=1))</f>
        <v>0</v>
      </c>
      <c r="X19" s="67">
        <f>SUMPRODUCT((ChatGPT_FewShot!AC3:AC32=0)*(Avaliacao_Humana!AC3:AC32=1))</f>
        <v>0</v>
      </c>
      <c r="Y19" s="67">
        <f>SUMPRODUCT((ChatGPT_FewShot!AD3:AD32=0)*(Avaliacao_Humana!AD3:AD32=1))</f>
        <v>1</v>
      </c>
      <c r="Z19" s="67">
        <f>SUMPRODUCT((ChatGPT_FewShot!AE3:AE32=0)*(Avaliacao_Humana!AE3:AE32=1))</f>
        <v>0</v>
      </c>
      <c r="AA19" s="67">
        <f>SUMPRODUCT((ChatGPT_FewShot!AG3:AG32=0)*(Avaliacao_Humana!AG3:AG32=1))</f>
        <v>0</v>
      </c>
      <c r="AB19" s="67">
        <f>SUMPRODUCT((ChatGPT_FewShot!AH3:AH32=0)*(Avaliacao_Humana!AH3:AH32=1))</f>
        <v>9</v>
      </c>
      <c r="AC19" s="67">
        <f>SUMPRODUCT((ChatGPT_FewShot!AI3:AI32=0)*(Avaliacao_Humana!AI3:AI32=1))</f>
        <v>13</v>
      </c>
      <c r="AD19" s="67">
        <f>SUMPRODUCT((ChatGPT_FewShot!AJ3:AJ32=0)*(Avaliacao_Humana!AJ3:AJ32=1))</f>
        <v>5</v>
      </c>
      <c r="AE19" s="67">
        <f>SUMPRODUCT((ChatGPT_FewShot!AK3:AK32=0)*(Avaliacao_Humana!AK3:AK32=1))</f>
        <v>5</v>
      </c>
      <c r="AF19" s="82">
        <f t="shared" si="2"/>
        <v>72</v>
      </c>
    </row>
    <row r="20" ht="15.75" customHeight="1">
      <c r="A20" s="58" t="s">
        <v>124</v>
      </c>
      <c r="B20" s="64">
        <f>SUMPRODUCT((ChatGPT_CoT!C3:C32=0)*(Avaliacao_Humana!C3:C32=1))</f>
        <v>0</v>
      </c>
      <c r="C20" s="64">
        <f>SUMPRODUCT((ChatGPT_CoT!D3:D32=0)*(Avaliacao_Humana!D3:D32=1))</f>
        <v>0</v>
      </c>
      <c r="D20" s="64">
        <f>SUMPRODUCT((ChatGPT_CoT!E3:E32=0)*(Avaliacao_Humana!E3:E32=1))</f>
        <v>1</v>
      </c>
      <c r="E20" s="64">
        <f>SUMPRODUCT((ChatGPT_CoT!F3:F32=0)*(Avaliacao_Humana!F3:F32=1))</f>
        <v>1</v>
      </c>
      <c r="F20" s="64">
        <f>SUMPRODUCT((ChatGPT_CoT!G3:G32=0)*(Avaliacao_Humana!G3:G32=1))</f>
        <v>0</v>
      </c>
      <c r="G20" s="64">
        <f>SUMPRODUCT((ChatGPT_CoT!I3:I32=0)*(Avaliacao_Humana!I3:I32=1))</f>
        <v>2</v>
      </c>
      <c r="H20" s="64">
        <f>SUMPRODUCT((ChatGPT_CoT!J3:J32=0)*(Avaliacao_Humana!J3:J32=1))</f>
        <v>0</v>
      </c>
      <c r="I20" s="64">
        <f>SUMPRODUCT((ChatGPT_CoT!K3:K32=0)*(Avaliacao_Humana!K3:K32=1))</f>
        <v>3</v>
      </c>
      <c r="J20" s="64">
        <f>SUMPRODUCT((ChatGPT_CoT!L3:L32=0)*(Avaliacao_Humana!L3:L32=1))</f>
        <v>2</v>
      </c>
      <c r="K20" s="64">
        <f>SUMPRODUCT((ChatGPT_CoT!M3:M32=0)*(Avaliacao_Humana!M3:M32=1))</f>
        <v>3</v>
      </c>
      <c r="L20" s="64">
        <f>SUMPRODUCT((ChatGPT_CoT!O3:O32=0)*(Avaliacao_Humana!O3:O32=1))</f>
        <v>1</v>
      </c>
      <c r="M20" s="64">
        <f>SUMPRODUCT((ChatGPT_CoT!P3:P32=0)*(Avaliacao_Humana!P3:P32=1))</f>
        <v>1</v>
      </c>
      <c r="N20" s="64">
        <f>SUMPRODUCT((ChatGPT_CoT!Q3:Q32=0)*(Avaliacao_Humana!Q3:Q32=1))</f>
        <v>3</v>
      </c>
      <c r="O20" s="64">
        <f>SUMPRODUCT((ChatGPT_CoT!R3:R32=0)*(Avaliacao_Humana!R3:R32=1))</f>
        <v>1</v>
      </c>
      <c r="P20" s="64">
        <f>SUMPRODUCT((ChatGPT_CoT!S3:S32=0)*(Avaliacao_Humana!S3:S32=1))</f>
        <v>1</v>
      </c>
      <c r="Q20" s="64">
        <f>SUMPRODUCT((ChatGPT_CoT!U3:U32=0)*(Avaliacao_Humana!U3:U32=1))</f>
        <v>5</v>
      </c>
      <c r="R20" s="64">
        <f>SUMPRODUCT((ChatGPT_CoT!V3:V32=0)*(Avaliacao_Humana!V3:V32=1))</f>
        <v>3</v>
      </c>
      <c r="S20" s="64">
        <f>SUMPRODUCT((ChatGPT_CoT!W3:W32=0)*(Avaliacao_Humana!W3:W32=1))</f>
        <v>4</v>
      </c>
      <c r="T20" s="64">
        <f>SUMPRODUCT((ChatGPT_CoT!X3:X32=0)*(Avaliacao_Humana!X3:X32=1))</f>
        <v>0</v>
      </c>
      <c r="U20" s="64">
        <f>SUMPRODUCT((ChatGPT_CoT!Y3:Y32=0)*(Avaliacao_Humana!Y3:Y32=1))</f>
        <v>0</v>
      </c>
      <c r="V20" s="64">
        <f>SUMPRODUCT((ChatGPT_CoT!AA3:AA32=0)*(Avaliacao_Humana!AA3:AA32=1))</f>
        <v>1</v>
      </c>
      <c r="W20" s="64">
        <f>SUMPRODUCT((ChatGPT_CoT!AB3:AB32=0)*(Avaliacao_Humana!AB3:AB32=1))</f>
        <v>0</v>
      </c>
      <c r="X20" s="64">
        <f>SUMPRODUCT((ChatGPT_CoT!AC3:AC32=0)*(Avaliacao_Humana!AC3:AC32=1))</f>
        <v>0</v>
      </c>
      <c r="Y20" s="64">
        <f>SUMPRODUCT((ChatGPT_CoT!AD3:AD32=0)*(Avaliacao_Humana!AD3:AD32=1))</f>
        <v>0</v>
      </c>
      <c r="Z20" s="64">
        <f>SUMPRODUCT((ChatGPT_CoT!AE3:AE32=0)*(Avaliacao_Humana!AE3:AE32=1))</f>
        <v>0</v>
      </c>
      <c r="AA20" s="64">
        <f>SUMPRODUCT((ChatGPT_CoT!AG3:AG32=0)*(Avaliacao_Humana!AG3:AG32=1))</f>
        <v>0</v>
      </c>
      <c r="AB20" s="64">
        <f>SUMPRODUCT((ChatGPT_CoT!AH3:AH32=0)*(Avaliacao_Humana!AH3:AH32=1))</f>
        <v>10</v>
      </c>
      <c r="AC20" s="64">
        <f>SUMPRODUCT((ChatGPT_CoT!AI3:AI32=0)*(Avaliacao_Humana!AI3:AI32=1))</f>
        <v>0</v>
      </c>
      <c r="AD20" s="64">
        <f>SUMPRODUCT((ChatGPT_CoT!AJ3:AJ32=0)*(Avaliacao_Humana!AJ3:AJ32=1))</f>
        <v>0</v>
      </c>
      <c r="AE20" s="64">
        <f>SUMPRODUCT((ChatGPT_CoT!AK3:AK32=0)*(Avaliacao_Humana!AK3:AK32=1))</f>
        <v>0</v>
      </c>
      <c r="AF20" s="82">
        <f t="shared" si="2"/>
        <v>42</v>
      </c>
    </row>
    <row r="21" ht="15.75" customHeight="1">
      <c r="A21" s="54" t="s">
        <v>125</v>
      </c>
      <c r="B21" s="67">
        <f>SUMPRODUCT((Gemini_ZeroShot!C3:C32=0)*(Avaliacao_Humana!C3:C32=1))</f>
        <v>0</v>
      </c>
      <c r="C21" s="67">
        <f>SUMPRODUCT((Gemini_ZeroShot!D3:D32=0)*(Avaliacao_Humana!D3:D32=1))</f>
        <v>1</v>
      </c>
      <c r="D21" s="67">
        <f>SUMPRODUCT((Gemini_ZeroShot!E3:E32=0)*(Avaliacao_Humana!E3:E32=1))</f>
        <v>2</v>
      </c>
      <c r="E21" s="67">
        <f>SUMPRODUCT((Gemini_ZeroShot!F3:F32=0)*(Avaliacao_Humana!F3:F32=1))</f>
        <v>1</v>
      </c>
      <c r="F21" s="67">
        <f>SUMPRODUCT((Gemini_ZeroShot!G3:G32=0)*(Avaliacao_Humana!G3:G32=1))</f>
        <v>0</v>
      </c>
      <c r="G21" s="67">
        <f>SUMPRODUCT((Gemini_ZeroShot!I3:I32=0)*(Avaliacao_Humana!I3:I32=1))</f>
        <v>3</v>
      </c>
      <c r="H21" s="67">
        <f>SUMPRODUCT((Gemini_ZeroShot!J3:J32=0)*(Avaliacao_Humana!J3:J32=1))</f>
        <v>1</v>
      </c>
      <c r="I21" s="67">
        <f>SUMPRODUCT((Gemini_ZeroShot!K3:K32=0)*(Avaliacao_Humana!K3:K32=1))</f>
        <v>2</v>
      </c>
      <c r="J21" s="67">
        <f>SUMPRODUCT((Gemini_ZeroShot!L3:L32=0)*(Avaliacao_Humana!L3:L32=1))</f>
        <v>1</v>
      </c>
      <c r="K21" s="67">
        <f>SUMPRODUCT((Gemini_ZeroShot!M3:M32=0)*(Avaliacao_Humana!M3:M32=1))</f>
        <v>3</v>
      </c>
      <c r="L21" s="67">
        <f>SUMPRODUCT((Gemini_ZeroShot!O3:O32=0)*(Avaliacao_Humana!O3:O32=1))</f>
        <v>3</v>
      </c>
      <c r="M21" s="67">
        <f>SUMPRODUCT((Gemini_ZeroShot!P3:P32=0)*(Avaliacao_Humana!P3:P32=1))</f>
        <v>1</v>
      </c>
      <c r="N21" s="67">
        <f>SUMPRODUCT((Gemini_ZeroShot!Q3:Q32=0)*(Avaliacao_Humana!Q3:Q32=1))</f>
        <v>4</v>
      </c>
      <c r="O21" s="67">
        <f>SUMPRODUCT((Gemini_ZeroShot!R3:R32=0)*(Avaliacao_Humana!R3:R32=1))</f>
        <v>2</v>
      </c>
      <c r="P21" s="67">
        <f>SUMPRODUCT((Gemini_ZeroShot!S3:S32=0)*(Avaliacao_Humana!S3:S32=1))</f>
        <v>1</v>
      </c>
      <c r="Q21" s="67">
        <f>SUMPRODUCT((Gemini_ZeroShot!U3:U32=0)*(Avaliacao_Humana!U3:U32=1))</f>
        <v>6</v>
      </c>
      <c r="R21" s="67">
        <f>SUMPRODUCT((Gemini_ZeroShot!V3:V32=0)*(Avaliacao_Humana!V3:V32=1))</f>
        <v>4</v>
      </c>
      <c r="S21" s="67">
        <f>SUMPRODUCT((Gemini_ZeroShot!W3:W32=0)*(Avaliacao_Humana!W3:W32=1))</f>
        <v>4</v>
      </c>
      <c r="T21" s="67">
        <f>SUMPRODUCT((Gemini_ZeroShot!X3:X32=0)*(Avaliacao_Humana!X3:X32=1))</f>
        <v>0</v>
      </c>
      <c r="U21" s="67">
        <f>SUMPRODUCT((Gemini_ZeroShot!Y3:Y32=0)*(Avaliacao_Humana!Y3:Y32=1))</f>
        <v>0</v>
      </c>
      <c r="V21" s="67">
        <f>SUMPRODUCT((Gemini_ZeroShot!AA3:AA32=0)*(Avaliacao_Humana!AA3:AA32=1))</f>
        <v>3</v>
      </c>
      <c r="W21" s="67">
        <f>SUMPRODUCT((Gemini_ZeroShot!AB3:AB32=0)*(Avaliacao_Humana!AB3:AB32=1))</f>
        <v>1</v>
      </c>
      <c r="X21" s="67">
        <f>SUMPRODUCT((Gemini_ZeroShot!AC3:AC32=0)*(Avaliacao_Humana!AC3:AC32=1))</f>
        <v>0</v>
      </c>
      <c r="Y21" s="67">
        <f>SUMPRODUCT((Gemini_ZeroShot!AD3:AD32=0)*(Avaliacao_Humana!AD3:AD32=1))</f>
        <v>1</v>
      </c>
      <c r="Z21" s="67">
        <f>SUMPRODUCT((Gemini_ZeroShot!AE3:AE32=0)*(Avaliacao_Humana!AE3:AE32=1))</f>
        <v>0</v>
      </c>
      <c r="AA21" s="67">
        <f>SUMPRODUCT((Gemini_ZeroShot!AG3:AG32=0)*(Avaliacao_Humana!AG3:AG32=1))</f>
        <v>29</v>
      </c>
      <c r="AB21" s="67">
        <f>SUMPRODUCT((Gemini_ZeroShot!AH3:AH32=0)*(Avaliacao_Humana!AH3:AH32=1))</f>
        <v>11</v>
      </c>
      <c r="AC21" s="67">
        <f>SUMPRODUCT((Gemini_ZeroShot!AI3:AI32=0)*(Avaliacao_Humana!AI3:AI32=1))</f>
        <v>16</v>
      </c>
      <c r="AD21" s="67">
        <f>SUMPRODUCT((Gemini_ZeroShot!AJ3:AJ32=0)*(Avaliacao_Humana!AJ3:AJ32=1))</f>
        <v>5</v>
      </c>
      <c r="AE21" s="67">
        <f>SUMPRODUCT((Gemini_ZeroShot!AK3:AK32=0)*(Avaliacao_Humana!AK3:AK32=1))</f>
        <v>4</v>
      </c>
      <c r="AF21" s="82">
        <f t="shared" si="2"/>
        <v>109</v>
      </c>
    </row>
    <row r="22" ht="15.75" customHeight="1">
      <c r="A22" s="58" t="s">
        <v>126</v>
      </c>
      <c r="B22" s="64">
        <f>SUMPRODUCT((Gemini_FewShot!C3:C32=0)*(Avaliacao_Humana!C3:C32=1))</f>
        <v>0</v>
      </c>
      <c r="C22" s="64">
        <f>SUMPRODUCT((Gemini_FewShot!D3:D32=0)*(Avaliacao_Humana!D3:D32=1))</f>
        <v>1</v>
      </c>
      <c r="D22" s="64">
        <f>SUMPRODUCT((Gemini_FewShot!E3:E32=0)*(Avaliacao_Humana!E3:E32=1))</f>
        <v>2</v>
      </c>
      <c r="E22" s="64">
        <f>SUMPRODUCT((Gemini_FewShot!F3:F32=0)*(Avaliacao_Humana!F3:F32=1))</f>
        <v>1</v>
      </c>
      <c r="F22" s="64">
        <f>SUMPRODUCT((Gemini_FewShot!G3:G32=0)*(Avaliacao_Humana!G3:G32=1))</f>
        <v>0</v>
      </c>
      <c r="G22" s="64">
        <f>SUMPRODUCT((Gemini_FewShot!I3:I32=0)*(Avaliacao_Humana!I3:I32=1))</f>
        <v>3</v>
      </c>
      <c r="H22" s="64">
        <f>SUMPRODUCT((Gemini_FewShot!J3:J32=0)*(Avaliacao_Humana!J3:J32=1))</f>
        <v>0</v>
      </c>
      <c r="I22" s="64">
        <f>SUMPRODUCT((Gemini_FewShot!K3:K32=0)*(Avaliacao_Humana!K3:K32=1))</f>
        <v>3</v>
      </c>
      <c r="J22" s="64">
        <f>SUMPRODUCT((Gemini_FewShot!L3:L32=0)*(Avaliacao_Humana!L3:L32=1))</f>
        <v>2</v>
      </c>
      <c r="K22" s="64">
        <f>SUMPRODUCT((Gemini_FewShot!M3:M32=0)*(Avaliacao_Humana!M3:M32=1))</f>
        <v>2</v>
      </c>
      <c r="L22" s="64">
        <f>SUMPRODUCT((Gemini_FewShot!O3:O32=0)*(Avaliacao_Humana!O3:O32=1))</f>
        <v>0</v>
      </c>
      <c r="M22" s="64">
        <f>SUMPRODUCT((Gemini_FewShot!P3:P32=0)*(Avaliacao_Humana!P3:P32=1))</f>
        <v>1</v>
      </c>
      <c r="N22" s="64">
        <f>SUMPRODUCT((Gemini_FewShot!Q3:Q32=0)*(Avaliacao_Humana!Q3:Q32=1))</f>
        <v>4</v>
      </c>
      <c r="O22" s="64">
        <f>SUMPRODUCT((Gemini_FewShot!R3:R32=0)*(Avaliacao_Humana!R3:R32=1))</f>
        <v>1</v>
      </c>
      <c r="P22" s="64">
        <f>SUMPRODUCT((Gemini_FewShot!S3:S32=0)*(Avaliacao_Humana!S3:S32=1))</f>
        <v>2</v>
      </c>
      <c r="Q22" s="64">
        <f>SUMPRODUCT((Gemini_FewShot!U3:U32=0)*(Avaliacao_Humana!U3:U32=1))</f>
        <v>3</v>
      </c>
      <c r="R22" s="64">
        <f>SUMPRODUCT((Gemini_FewShot!V3:V32=0)*(Avaliacao_Humana!V3:V32=1))</f>
        <v>2</v>
      </c>
      <c r="S22" s="64">
        <f>SUMPRODUCT((Gemini_FewShot!W3:W32=0)*(Avaliacao_Humana!W3:W32=1))</f>
        <v>4</v>
      </c>
      <c r="T22" s="64">
        <f>SUMPRODUCT((Gemini_FewShot!X3:X32=0)*(Avaliacao_Humana!X3:X32=1))</f>
        <v>0</v>
      </c>
      <c r="U22" s="64">
        <f>SUMPRODUCT((Gemini_FewShot!Y3:Y32=0)*(Avaliacao_Humana!Y3:Y32=1))</f>
        <v>1</v>
      </c>
      <c r="V22" s="64">
        <f>SUMPRODUCT((Gemini_FewShot!AA3:AA32=0)*(Avaliacao_Humana!AA3:AA32=1))</f>
        <v>2</v>
      </c>
      <c r="W22" s="64">
        <f>SUMPRODUCT((Gemini_FewShot!AB3:AB32=0)*(Avaliacao_Humana!AB3:AB32=1))</f>
        <v>1</v>
      </c>
      <c r="X22" s="64">
        <f>SUMPRODUCT((Gemini_FewShot!AC3:AC32=0)*(Avaliacao_Humana!AC3:AC32=1))</f>
        <v>0</v>
      </c>
      <c r="Y22" s="64">
        <f>SUMPRODUCT((Gemini_FewShot!AD3:AD32=0)*(Avaliacao_Humana!AD3:AD32=1))</f>
        <v>1</v>
      </c>
      <c r="Z22" s="64">
        <f>SUMPRODUCT((Gemini_FewShot!AE3:AE32=0)*(Avaliacao_Humana!AE3:AE32=1))</f>
        <v>0</v>
      </c>
      <c r="AA22" s="64">
        <f>SUMPRODUCT((Gemini_FewShot!AG3:AG32=0)*(Avaliacao_Humana!AG3:AG32=1))</f>
        <v>0</v>
      </c>
      <c r="AB22" s="64">
        <f>SUMPRODUCT((Gemini_FewShot!AH3:AH32=0)*(Avaliacao_Humana!AH3:AH32=1))</f>
        <v>4</v>
      </c>
      <c r="AC22" s="64">
        <f>SUMPRODUCT((Gemini_FewShot!AI3:AI32=0)*(Avaliacao_Humana!AI3:AI32=1))</f>
        <v>1</v>
      </c>
      <c r="AD22" s="64">
        <f>SUMPRODUCT((Gemini_FewShot!AJ3:AJ32=0)*(Avaliacao_Humana!AJ3:AJ32=1))</f>
        <v>0</v>
      </c>
      <c r="AE22" s="64">
        <f>SUMPRODUCT((Gemini_FewShot!AK3:AK32=0)*(Avaliacao_Humana!AK3:AK32=1))</f>
        <v>0</v>
      </c>
      <c r="AF22" s="82">
        <f t="shared" si="2"/>
        <v>41</v>
      </c>
    </row>
    <row r="23" ht="15.75" customHeight="1">
      <c r="A23" s="54" t="s">
        <v>127</v>
      </c>
      <c r="B23" s="67">
        <f>SUMPRODUCT((Gemini_CoT!C3:C32=0)*(Avaliacao_Humana!C3:C32=1))</f>
        <v>0</v>
      </c>
      <c r="C23" s="67">
        <f>SUMPRODUCT((Gemini_CoT!D3:D32=0)*(Avaliacao_Humana!D3:D32=1))</f>
        <v>1</v>
      </c>
      <c r="D23" s="67">
        <f>SUMPRODUCT((Gemini_CoT!E3:E32=0)*(Avaliacao_Humana!E3:E32=1))</f>
        <v>2</v>
      </c>
      <c r="E23" s="67">
        <f>SUMPRODUCT((Gemini_CoT!F3:F32=0)*(Avaliacao_Humana!F3:F32=1))</f>
        <v>1</v>
      </c>
      <c r="F23" s="67">
        <f>SUMPRODUCT((Gemini_CoT!G3:G32=0)*(Avaliacao_Humana!G3:G32=1))</f>
        <v>0</v>
      </c>
      <c r="G23" s="67">
        <f>SUMPRODUCT((Gemini_CoT!I3:I32=0)*(Avaliacao_Humana!I3:I32=1))</f>
        <v>3</v>
      </c>
      <c r="H23" s="67">
        <f>SUMPRODUCT((Gemini_CoT!J3:J32=0)*(Avaliacao_Humana!J3:J32=1))</f>
        <v>1</v>
      </c>
      <c r="I23" s="67">
        <f>SUMPRODUCT((Gemini_CoT!K3:K32=0)*(Avaliacao_Humana!K3:K32=1))</f>
        <v>3</v>
      </c>
      <c r="J23" s="67">
        <f>SUMPRODUCT((Gemini_CoT!L3:L32=0)*(Avaliacao_Humana!L3:L32=1))</f>
        <v>1</v>
      </c>
      <c r="K23" s="67">
        <f>SUMPRODUCT((Gemini_CoT!M3:M32=0)*(Avaliacao_Humana!M3:M32=1))</f>
        <v>3</v>
      </c>
      <c r="L23" s="67">
        <f>SUMPRODUCT((Gemini_CoT!O3:O32=0)*(Avaliacao_Humana!O3:O32=1))</f>
        <v>3</v>
      </c>
      <c r="M23" s="67">
        <f>SUMPRODUCT((Gemini_CoT!P3:P32=0)*(Avaliacao_Humana!P3:P32=1))</f>
        <v>2</v>
      </c>
      <c r="N23" s="67">
        <f>SUMPRODUCT((Gemini_CoT!Q3:Q32=0)*(Avaliacao_Humana!Q3:Q32=1))</f>
        <v>3</v>
      </c>
      <c r="O23" s="67">
        <f>SUMPRODUCT((Gemini_CoT!R3:R32=0)*(Avaliacao_Humana!R3:R32=1))</f>
        <v>2</v>
      </c>
      <c r="P23" s="67">
        <f>SUMPRODUCT((Gemini_CoT!S3:S32=0)*(Avaliacao_Humana!S3:S32=1))</f>
        <v>1</v>
      </c>
      <c r="Q23" s="67">
        <f>SUMPRODUCT((Gemini_CoT!U3:U32=0)*(Avaliacao_Humana!U3:U32=1))</f>
        <v>6</v>
      </c>
      <c r="R23" s="67">
        <f>SUMPRODUCT((Gemini_CoT!V3:V32=0)*(Avaliacao_Humana!V3:V32=1))</f>
        <v>3</v>
      </c>
      <c r="S23" s="67">
        <f>SUMPRODUCT((Gemini_CoT!W3:W32=0)*(Avaliacao_Humana!W3:W32=1))</f>
        <v>4</v>
      </c>
      <c r="T23" s="67">
        <f>SUMPRODUCT((Gemini_CoT!X3:X32=0)*(Avaliacao_Humana!X3:X32=1))</f>
        <v>0</v>
      </c>
      <c r="U23" s="67">
        <f>SUMPRODUCT((Gemini_CoT!Y3:Y32=0)*(Avaliacao_Humana!Y3:Y32=1))</f>
        <v>0</v>
      </c>
      <c r="V23" s="67">
        <f>SUMPRODUCT((Gemini_CoT!AA3:AA32=0)*(Avaliacao_Humana!AA3:AA32=1))</f>
        <v>3</v>
      </c>
      <c r="W23" s="67">
        <f>SUMPRODUCT((Gemini_CoT!AB3:AB32=0)*(Avaliacao_Humana!AB3:AB32=1))</f>
        <v>1</v>
      </c>
      <c r="X23" s="67">
        <f>SUMPRODUCT((Gemini_CoT!AC3:AC32=0)*(Avaliacao_Humana!AC3:AC32=1))</f>
        <v>0</v>
      </c>
      <c r="Y23" s="67">
        <f>SUMPRODUCT((Gemini_CoT!AD3:AD32=0)*(Avaliacao_Humana!AD3:AD32=1))</f>
        <v>1</v>
      </c>
      <c r="Z23" s="67">
        <f>SUMPRODUCT((Gemini_CoT!AE3:AE32=0)*(Avaliacao_Humana!AE3:AE32=1))</f>
        <v>0</v>
      </c>
      <c r="AA23" s="67">
        <f>SUMPRODUCT((Gemini_CoT!AG3:AG32=0)*(Avaliacao_Humana!AG3:AG32=1))</f>
        <v>30</v>
      </c>
      <c r="AB23" s="67">
        <f>SUMPRODUCT((Gemini_CoT!AH3:AH32=0)*(Avaliacao_Humana!AH3:AH32=1))</f>
        <v>11</v>
      </c>
      <c r="AC23" s="67">
        <f>SUMPRODUCT((Gemini_CoT!AI3:AI32=0)*(Avaliacao_Humana!AI3:AI32=1))</f>
        <v>16</v>
      </c>
      <c r="AD23" s="67">
        <f>SUMPRODUCT((Gemini_CoT!AJ3:AJ32=0)*(Avaliacao_Humana!AJ3:AJ32=1))</f>
        <v>5</v>
      </c>
      <c r="AE23" s="67">
        <f>SUMPRODUCT((Gemini_CoT!AK3:AK32=0)*(Avaliacao_Humana!AK3:AK32=1))</f>
        <v>3</v>
      </c>
      <c r="AF23" s="82">
        <f t="shared" si="2"/>
        <v>109</v>
      </c>
    </row>
    <row r="24" ht="15.75" customHeight="1">
      <c r="A24" s="58" t="s">
        <v>128</v>
      </c>
      <c r="B24" s="64">
        <f>SUMPRODUCT((Claude_ZeroShot!C3:C32=0)*(Avaliacao_Humana!C3:C32=1))</f>
        <v>0</v>
      </c>
      <c r="C24" s="64">
        <f>SUMPRODUCT((Claude_ZeroShot!D3:D32=0)*(Avaliacao_Humana!D3:D32=1))</f>
        <v>1</v>
      </c>
      <c r="D24" s="64">
        <f>SUMPRODUCT((Claude_ZeroShot!E3:E32=0)*(Avaliacao_Humana!E3:E32=1))</f>
        <v>2</v>
      </c>
      <c r="E24" s="64">
        <f>SUMPRODUCT((Claude_ZeroShot!F3:F32=0)*(Avaliacao_Humana!F3:F32=1))</f>
        <v>1</v>
      </c>
      <c r="F24" s="64">
        <f>SUMPRODUCT((Claude_ZeroShot!G3:G32=0)*(Avaliacao_Humana!G3:G32=1))</f>
        <v>0</v>
      </c>
      <c r="G24" s="64">
        <f>SUMPRODUCT((Claude_ZeroShot!I3:I32=0)*(Avaliacao_Humana!I3:I32=1))</f>
        <v>3</v>
      </c>
      <c r="H24" s="64">
        <f>SUMPRODUCT((Claude_ZeroShot!J3:J32=0)*(Avaliacao_Humana!J3:J32=1))</f>
        <v>1</v>
      </c>
      <c r="I24" s="64">
        <f>SUMPRODUCT((Claude_ZeroShot!K3:K32=0)*(Avaliacao_Humana!K3:K32=1))</f>
        <v>1</v>
      </c>
      <c r="J24" s="64">
        <f>SUMPRODUCT((Claude_ZeroShot!L3:L32=0)*(Avaliacao_Humana!L3:L32=1))</f>
        <v>2</v>
      </c>
      <c r="K24" s="64">
        <f>SUMPRODUCT((Claude_ZeroShot!M3:M32=0)*(Avaliacao_Humana!M3:M32=1))</f>
        <v>2</v>
      </c>
      <c r="L24" s="64">
        <f>SUMPRODUCT((Claude_ZeroShot!O3:O32=0)*(Avaliacao_Humana!O3:O32=1))</f>
        <v>1</v>
      </c>
      <c r="M24" s="64">
        <f>SUMPRODUCT((Claude_ZeroShot!P3:P32=0)*(Avaliacao_Humana!P3:P32=1))</f>
        <v>0</v>
      </c>
      <c r="N24" s="64">
        <f>SUMPRODUCT((Claude_ZeroShot!Q3:Q32=0)*(Avaliacao_Humana!Q3:Q32=1))</f>
        <v>3</v>
      </c>
      <c r="O24" s="64">
        <f>SUMPRODUCT((Claude_ZeroShot!R3:R32=0)*(Avaliacao_Humana!R3:R32=1))</f>
        <v>1</v>
      </c>
      <c r="P24" s="64">
        <f>SUMPRODUCT((Claude_ZeroShot!S3:S32=0)*(Avaliacao_Humana!S3:S32=1))</f>
        <v>1</v>
      </c>
      <c r="Q24" s="64">
        <f>SUMPRODUCT((Claude_ZeroShot!U3:U32=0)*(Avaliacao_Humana!U3:U32=1))</f>
        <v>5</v>
      </c>
      <c r="R24" s="64">
        <f>SUMPRODUCT((Claude_ZeroShot!V3:V32=0)*(Avaliacao_Humana!V3:V32=1))</f>
        <v>4</v>
      </c>
      <c r="S24" s="64">
        <f>SUMPRODUCT((Claude_ZeroShot!W3:W32=0)*(Avaliacao_Humana!W3:W32=1))</f>
        <v>0</v>
      </c>
      <c r="T24" s="64">
        <f>SUMPRODUCT((Claude_ZeroShot!X3:X32=0)*(Avaliacao_Humana!X3:X32=1))</f>
        <v>0</v>
      </c>
      <c r="U24" s="64">
        <f>SUMPRODUCT((Claude_ZeroShot!Y3:Y32=0)*(Avaliacao_Humana!Y3:Y32=1))</f>
        <v>0</v>
      </c>
      <c r="V24" s="64">
        <f>SUMPRODUCT((Claude_ZeroShot!AA3:AA32=0)*(Avaliacao_Humana!AA3:AA32=1))</f>
        <v>1</v>
      </c>
      <c r="W24" s="64">
        <f>SUMPRODUCT((Claude_ZeroShot!AB3:AB32=0)*(Avaliacao_Humana!AB3:AB32=1))</f>
        <v>1</v>
      </c>
      <c r="X24" s="64">
        <f>SUMPRODUCT((Claude_ZeroShot!AC3:AC32=0)*(Avaliacao_Humana!AC3:AC32=1))</f>
        <v>0</v>
      </c>
      <c r="Y24" s="64">
        <f>SUMPRODUCT((Claude_ZeroShot!AD3:AD32=0)*(Avaliacao_Humana!AD3:AD32=1))</f>
        <v>1</v>
      </c>
      <c r="Z24" s="64">
        <f>SUMPRODUCT((Claude_ZeroShot!AE3:AE32=0)*(Avaliacao_Humana!AE3:AE32=1))</f>
        <v>0</v>
      </c>
      <c r="AA24" s="64">
        <f>SUMPRODUCT((Claude_ZeroShot!AG3:AG32=0)*(Avaliacao_Humana!AG3:AG32=1))</f>
        <v>0</v>
      </c>
      <c r="AB24" s="64">
        <f>SUMPRODUCT((Claude_ZeroShot!AH3:AH32=0)*(Avaliacao_Humana!AH3:AH32=1))</f>
        <v>6</v>
      </c>
      <c r="AC24" s="64">
        <f>SUMPRODUCT((Claude_ZeroShot!AI3:AI32=0)*(Avaliacao_Humana!AI3:AI32=1))</f>
        <v>2</v>
      </c>
      <c r="AD24" s="64">
        <f>SUMPRODUCT((Claude_ZeroShot!AJ3:AJ32=0)*(Avaliacao_Humana!AJ3:AJ32=1))</f>
        <v>0</v>
      </c>
      <c r="AE24" s="64">
        <f>SUMPRODUCT((Claude_ZeroShot!AK3:AK32=0)*(Avaliacao_Humana!AK3:AK32=1))</f>
        <v>0</v>
      </c>
      <c r="AF24" s="82">
        <f t="shared" si="2"/>
        <v>39</v>
      </c>
    </row>
    <row r="25" ht="15.75" customHeight="1">
      <c r="A25" s="54" t="s">
        <v>129</v>
      </c>
      <c r="B25" s="67">
        <f>SUMPRODUCT((Claude_FewShot!C3:C32=0)*(Avaliacao_Humana!C3:C32=1))</f>
        <v>0</v>
      </c>
      <c r="C25" s="67">
        <f>SUMPRODUCT((Claude_FewShot!D3:D32=0)*(Avaliacao_Humana!D3:D32=1))</f>
        <v>0</v>
      </c>
      <c r="D25" s="67">
        <f>SUMPRODUCT((Claude_FewShot!E3:E32=0)*(Avaliacao_Humana!E3:E32=1))</f>
        <v>2</v>
      </c>
      <c r="E25" s="67">
        <f>SUMPRODUCT((Claude_FewShot!F3:F32=0)*(Avaliacao_Humana!F3:F32=1))</f>
        <v>1</v>
      </c>
      <c r="F25" s="67">
        <f>SUMPRODUCT((Claude_FewShot!G3:G32=0)*(Avaliacao_Humana!G3:G32=1))</f>
        <v>0</v>
      </c>
      <c r="G25" s="67">
        <f>SUMPRODUCT((Claude_FewShot!I3:I32=0)*(Avaliacao_Humana!I3:I32=1))</f>
        <v>2</v>
      </c>
      <c r="H25" s="67">
        <f>SUMPRODUCT((Claude_FewShot!J3:J32=0)*(Avaliacao_Humana!J3:J32=1))</f>
        <v>0</v>
      </c>
      <c r="I25" s="67">
        <f>SUMPRODUCT((Claude_FewShot!K3:K32=0)*(Avaliacao_Humana!K3:K32=1))</f>
        <v>2</v>
      </c>
      <c r="J25" s="67">
        <f>SUMPRODUCT((Claude_FewShot!L3:L32=0)*(Avaliacao_Humana!L3:L32=1))</f>
        <v>2</v>
      </c>
      <c r="K25" s="67">
        <f>SUMPRODUCT((Claude_FewShot!M3:M32=0)*(Avaliacao_Humana!M3:M32=1))</f>
        <v>2</v>
      </c>
      <c r="L25" s="67">
        <f>SUMPRODUCT((Claude_FewShot!O3:O32=0)*(Avaliacao_Humana!O3:O32=1))</f>
        <v>3</v>
      </c>
      <c r="M25" s="67">
        <f>SUMPRODUCT((Claude_FewShot!P3:P32=0)*(Avaliacao_Humana!P3:P32=1))</f>
        <v>1</v>
      </c>
      <c r="N25" s="67">
        <f>SUMPRODUCT((Claude_FewShot!Q3:Q32=0)*(Avaliacao_Humana!Q3:Q32=1))</f>
        <v>4</v>
      </c>
      <c r="O25" s="67">
        <f>SUMPRODUCT((Claude_FewShot!R3:R32=0)*(Avaliacao_Humana!R3:R32=1))</f>
        <v>1</v>
      </c>
      <c r="P25" s="67">
        <f>SUMPRODUCT((Claude_FewShot!S3:S32=0)*(Avaliacao_Humana!S3:S32=1))</f>
        <v>1</v>
      </c>
      <c r="Q25" s="67">
        <f>SUMPRODUCT((Claude_FewShot!U3:U32=0)*(Avaliacao_Humana!U3:U32=1))</f>
        <v>6</v>
      </c>
      <c r="R25" s="67">
        <f>SUMPRODUCT((Claude_FewShot!V3:V32=0)*(Avaliacao_Humana!V3:V32=1))</f>
        <v>4</v>
      </c>
      <c r="S25" s="67">
        <f>SUMPRODUCT((Claude_FewShot!W3:W32=0)*(Avaliacao_Humana!W3:W32=1))</f>
        <v>4</v>
      </c>
      <c r="T25" s="67">
        <f>SUMPRODUCT((Claude_FewShot!X3:X32=0)*(Avaliacao_Humana!X3:X32=1))</f>
        <v>0</v>
      </c>
      <c r="U25" s="67">
        <f>SUMPRODUCT((Claude_FewShot!Y3:Y32=0)*(Avaliacao_Humana!Y3:Y32=1))</f>
        <v>0</v>
      </c>
      <c r="V25" s="67">
        <f>SUMPRODUCT((Claude_FewShot!AA3:AA32=0)*(Avaliacao_Humana!AA3:AA32=1))</f>
        <v>3</v>
      </c>
      <c r="W25" s="67">
        <f>SUMPRODUCT((Claude_FewShot!AB3:AB32=0)*(Avaliacao_Humana!AB3:AB32=1))</f>
        <v>1</v>
      </c>
      <c r="X25" s="67">
        <f>SUMPRODUCT((Claude_FewShot!AC3:AC32=0)*(Avaliacao_Humana!AC3:AC32=1))</f>
        <v>0</v>
      </c>
      <c r="Y25" s="67">
        <f>SUMPRODUCT((Claude_FewShot!AD3:AD32=0)*(Avaliacao_Humana!AD3:AD32=1))</f>
        <v>1</v>
      </c>
      <c r="Z25" s="67">
        <f>SUMPRODUCT((Claude_FewShot!AE3:AE32=0)*(Avaliacao_Humana!AE3:AE32=1))</f>
        <v>0</v>
      </c>
      <c r="AA25" s="67">
        <f>SUMPRODUCT((Claude_FewShot!AG3:AG32=0)*(Avaliacao_Humana!AG3:AG32=1))</f>
        <v>28</v>
      </c>
      <c r="AB25" s="67">
        <f>SUMPRODUCT((Claude_FewShot!AH3:AH32=0)*(Avaliacao_Humana!AH3:AH32=1))</f>
        <v>9</v>
      </c>
      <c r="AC25" s="67">
        <f>SUMPRODUCT((Claude_FewShot!AI3:AI32=0)*(Avaliacao_Humana!AI3:AI32=1))</f>
        <v>15</v>
      </c>
      <c r="AD25" s="67">
        <f>SUMPRODUCT((Claude_FewShot!AJ3:AJ32=0)*(Avaliacao_Humana!AJ3:AJ32=1))</f>
        <v>5</v>
      </c>
      <c r="AE25" s="67">
        <f>SUMPRODUCT((Claude_FewShot!AK3:AK32=0)*(Avaliacao_Humana!AK3:AK32=1))</f>
        <v>4</v>
      </c>
      <c r="AF25" s="82">
        <f t="shared" si="2"/>
        <v>101</v>
      </c>
    </row>
    <row r="26" ht="15.75" customHeight="1">
      <c r="A26" s="58" t="s">
        <v>130</v>
      </c>
      <c r="B26" s="64">
        <f>SUMPRODUCT((Claude_CoT!C3:C32=0)*(Avaliacao_Humana!C3:C32=1))</f>
        <v>0</v>
      </c>
      <c r="C26" s="64">
        <f>SUMPRODUCT((Claude_CoT!D3:D32=0)*(Avaliacao_Humana!D3:D32=1))</f>
        <v>1</v>
      </c>
      <c r="D26" s="64">
        <f>SUMPRODUCT((Claude_CoT!E3:E32=0)*(Avaliacao_Humana!E3:E32=1))</f>
        <v>2</v>
      </c>
      <c r="E26" s="64">
        <f>SUMPRODUCT((Claude_CoT!F3:F32=0)*(Avaliacao_Humana!F3:F32=1))</f>
        <v>0</v>
      </c>
      <c r="F26" s="64">
        <f>SUMPRODUCT((Claude_CoT!G3:G32=0)*(Avaliacao_Humana!G3:G32=1))</f>
        <v>0</v>
      </c>
      <c r="G26" s="64">
        <f>SUMPRODUCT((Claude_CoT!I3:I32=0)*(Avaliacao_Humana!I3:I32=1))</f>
        <v>3</v>
      </c>
      <c r="H26" s="64">
        <f>SUMPRODUCT((Claude_CoT!J3:J32=0)*(Avaliacao_Humana!J3:J32=1))</f>
        <v>1</v>
      </c>
      <c r="I26" s="64">
        <f>SUMPRODUCT((Claude_CoT!K3:K32=0)*(Avaliacao_Humana!K3:K32=1))</f>
        <v>1</v>
      </c>
      <c r="J26" s="64">
        <f>SUMPRODUCT((Claude_CoT!L3:L32=0)*(Avaliacao_Humana!L3:L32=1))</f>
        <v>1</v>
      </c>
      <c r="K26" s="64">
        <f>SUMPRODUCT((Claude_CoT!M3:M32=0)*(Avaliacao_Humana!M3:M32=1))</f>
        <v>2</v>
      </c>
      <c r="L26" s="64">
        <f>SUMPRODUCT((Claude_CoT!O3:O32=0)*(Avaliacao_Humana!O3:O32=1))</f>
        <v>1</v>
      </c>
      <c r="M26" s="64">
        <f>SUMPRODUCT((Claude_CoT!P3:P32=0)*(Avaliacao_Humana!P3:P32=1))</f>
        <v>0</v>
      </c>
      <c r="N26" s="64">
        <f>SUMPRODUCT((Claude_CoT!Q3:Q32=0)*(Avaliacao_Humana!Q3:Q32=1))</f>
        <v>4</v>
      </c>
      <c r="O26" s="64">
        <f>SUMPRODUCT((Claude_CoT!R3:R32=0)*(Avaliacao_Humana!R3:R32=1))</f>
        <v>2</v>
      </c>
      <c r="P26" s="64">
        <f>SUMPRODUCT((Claude_CoT!S3:S32=0)*(Avaliacao_Humana!S3:S32=1))</f>
        <v>1</v>
      </c>
      <c r="Q26" s="64">
        <f>SUMPRODUCT((Claude_CoT!U3:U32=0)*(Avaliacao_Humana!U3:U32=1))</f>
        <v>4</v>
      </c>
      <c r="R26" s="64">
        <f>SUMPRODUCT((Claude_CoT!V3:V32=0)*(Avaliacao_Humana!V3:V32=1))</f>
        <v>4</v>
      </c>
      <c r="S26" s="64">
        <f>SUMPRODUCT((Claude_CoT!W3:W32=0)*(Avaliacao_Humana!W3:W32=1))</f>
        <v>3</v>
      </c>
      <c r="T26" s="64">
        <f>SUMPRODUCT((Claude_CoT!X3:X32=0)*(Avaliacao_Humana!X3:X32=1))</f>
        <v>0</v>
      </c>
      <c r="U26" s="64">
        <f>SUMPRODUCT((Claude_CoT!Y3:Y32=0)*(Avaliacao_Humana!Y3:Y32=1))</f>
        <v>0</v>
      </c>
      <c r="V26" s="64">
        <f>SUMPRODUCT((Claude_CoT!AA3:AA32=0)*(Avaliacao_Humana!AA3:AA32=1))</f>
        <v>3</v>
      </c>
      <c r="W26" s="64">
        <f>SUMPRODUCT((Claude_CoT!AB3:AB32=0)*(Avaliacao_Humana!AB3:AB32=1))</f>
        <v>1</v>
      </c>
      <c r="X26" s="64">
        <f>SUMPRODUCT((Claude_CoT!AC3:AC32=0)*(Avaliacao_Humana!AC3:AC32=1))</f>
        <v>0</v>
      </c>
      <c r="Y26" s="64">
        <f>SUMPRODUCT((Claude_CoT!AD3:AD32=0)*(Avaliacao_Humana!AD3:AD32=1))</f>
        <v>1</v>
      </c>
      <c r="Z26" s="64">
        <f>SUMPRODUCT((Claude_CoT!AE3:AE32=0)*(Avaliacao_Humana!AE3:AE32=1))</f>
        <v>0</v>
      </c>
      <c r="AA26" s="64">
        <f>SUMPRODUCT((Claude_CoT!AG3:AG32=0)*(Avaliacao_Humana!AG3:AG32=1))</f>
        <v>24</v>
      </c>
      <c r="AB26" s="64">
        <f>SUMPRODUCT((Claude_CoT!AH3:AH32=0)*(Avaliacao_Humana!AH3:AH32=1))</f>
        <v>9</v>
      </c>
      <c r="AC26" s="64">
        <f>SUMPRODUCT((Claude_CoT!AI3:AI32=0)*(Avaliacao_Humana!AI3:AI32=1))</f>
        <v>11</v>
      </c>
      <c r="AD26" s="64">
        <f>SUMPRODUCT((Claude_CoT!AJ3:AJ32=0)*(Avaliacao_Humana!AJ3:AJ32=1))</f>
        <v>5</v>
      </c>
      <c r="AE26" s="64">
        <f>SUMPRODUCT((Claude_CoT!AK3:AK32=0)*(Avaliacao_Humana!AK3:AK32=1))</f>
        <v>2</v>
      </c>
      <c r="AF26" s="82">
        <f t="shared" si="2"/>
        <v>86</v>
      </c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</row>
  </sheetData>
  <mergeCells count="3">
    <mergeCell ref="A1:AF1"/>
    <mergeCell ref="A2:AF2"/>
    <mergeCell ref="A16:AF16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6.0"/>
    <col customWidth="1" min="2" max="9" width="16.0"/>
    <col customWidth="1" min="10" max="26" width="8.71"/>
  </cols>
  <sheetData>
    <row r="1" ht="27.75" customHeight="1">
      <c r="A1" s="1" t="s">
        <v>199</v>
      </c>
      <c r="B1" s="2"/>
      <c r="C1" s="2"/>
      <c r="D1" s="2"/>
      <c r="E1" s="2"/>
      <c r="F1" s="2"/>
      <c r="G1" s="2"/>
      <c r="H1" s="2"/>
      <c r="I1" s="3"/>
    </row>
    <row r="2" ht="36.0" customHeight="1">
      <c r="A2" s="38" t="s">
        <v>195</v>
      </c>
      <c r="B2" s="39" t="s">
        <v>112</v>
      </c>
      <c r="C2" s="40" t="s">
        <v>113</v>
      </c>
      <c r="D2" s="41" t="s">
        <v>114</v>
      </c>
      <c r="E2" s="42" t="s">
        <v>115</v>
      </c>
      <c r="F2" s="43" t="s">
        <v>116</v>
      </c>
      <c r="G2" s="44" t="s">
        <v>117</v>
      </c>
      <c r="H2" s="45" t="s">
        <v>200</v>
      </c>
      <c r="I2" s="83" t="s">
        <v>201</v>
      </c>
    </row>
    <row r="3" ht="19.5" customHeight="1">
      <c r="A3" s="58" t="s">
        <v>122</v>
      </c>
      <c r="B3" s="84">
        <f>SUMPRODUCT((ChatGPT_ZeroShot!C3:G32=Avaliacao_Humana!C3:G32)*1)/150</f>
        <v>0.96</v>
      </c>
      <c r="C3" s="85">
        <f>SUMPRODUCT((ChatGPT_ZeroShot!I3:M32=Avaliacao_Humana!I3:M32)*1)/150</f>
        <v>0.92</v>
      </c>
      <c r="D3" s="86">
        <f>SUMPRODUCT((ChatGPT_ZeroShot!O3:S32=Avaliacao_Humana!O3:S32)*1)/150</f>
        <v>0.9066666667</v>
      </c>
      <c r="E3" s="87">
        <f>SUMPRODUCT((ChatGPT_ZeroShot!U3:Y32=Avaliacao_Humana!U3:Y32)*1)/150</f>
        <v>0.88</v>
      </c>
      <c r="F3" s="88">
        <f>SUMPRODUCT((ChatGPT_ZeroShot!AA3:AE32=Avaliacao_Humana!AA3:AE32)*1)/150</f>
        <v>0.9533333333</v>
      </c>
      <c r="G3" s="89">
        <f>SUMPRODUCT((ChatGPT_ZeroShot!AG3:AK32=Avaliacao_Humana!AG3:AK32)*1)/150</f>
        <v>0.5133333333</v>
      </c>
      <c r="H3" s="90">
        <f t="shared" ref="H3:H11" si="1">(B3+C3+D3+E3+F3+G3)/6</f>
        <v>0.8555555556</v>
      </c>
      <c r="I3" s="91">
        <f t="shared" ref="I3:I11" si="2">1-H3</f>
        <v>0.1444444444</v>
      </c>
    </row>
    <row r="4" ht="19.5" customHeight="1">
      <c r="A4" s="54" t="s">
        <v>123</v>
      </c>
      <c r="B4" s="84">
        <f>SUMPRODUCT((ChatGPT_FewShot!C3:G32=Avaliacao_Humana!C3:G32)*1)/150</f>
        <v>0.9666666667</v>
      </c>
      <c r="C4" s="85">
        <f>SUMPRODUCT((ChatGPT_FewShot!I3:M32=Avaliacao_Humana!I3:M32)*1)/150</f>
        <v>0.94</v>
      </c>
      <c r="D4" s="86">
        <f>SUMPRODUCT((ChatGPT_FewShot!O3:S32=Avaliacao_Humana!O3:S32)*1)/150</f>
        <v>0.9333333333</v>
      </c>
      <c r="E4" s="87">
        <f>SUMPRODUCT((ChatGPT_FewShot!U3:Y32=Avaliacao_Humana!U3:Y32)*1)/150</f>
        <v>0.8933333333</v>
      </c>
      <c r="F4" s="88">
        <f>SUMPRODUCT((ChatGPT_FewShot!AA3:AE32=Avaliacao_Humana!AA3:AE32)*1)/150</f>
        <v>0.9733333333</v>
      </c>
      <c r="G4" s="89">
        <f>SUMPRODUCT((ChatGPT_FewShot!AG3:AK32=Avaliacao_Humana!AG3:AK32)*1)/150</f>
        <v>0.78</v>
      </c>
      <c r="H4" s="90">
        <f t="shared" si="1"/>
        <v>0.9144444444</v>
      </c>
      <c r="I4" s="91">
        <f t="shared" si="2"/>
        <v>0.08555555556</v>
      </c>
    </row>
    <row r="5" ht="19.5" customHeight="1">
      <c r="A5" s="58" t="s">
        <v>124</v>
      </c>
      <c r="B5" s="84">
        <f>SUMPRODUCT((ChatGPT_CoT!C3:G32=Avaliacao_Humana!C3:G32)*1)/150</f>
        <v>0.9666666667</v>
      </c>
      <c r="C5" s="85">
        <f>SUMPRODUCT((ChatGPT_CoT!I3:M32=Avaliacao_Humana!I3:M32)*1)/150</f>
        <v>0.9133333333</v>
      </c>
      <c r="D5" s="86">
        <f>SUMPRODUCT((ChatGPT_CoT!O3:S32=Avaliacao_Humana!O3:S32)*1)/150</f>
        <v>0.94</v>
      </c>
      <c r="E5" s="87">
        <f>SUMPRODUCT((ChatGPT_CoT!U3:Y32=Avaliacao_Humana!U3:Y32)*1)/150</f>
        <v>0.8866666667</v>
      </c>
      <c r="F5" s="88">
        <f>SUMPRODUCT((ChatGPT_CoT!AA3:AE32=Avaliacao_Humana!AA3:AE32)*1)/150</f>
        <v>0.98</v>
      </c>
      <c r="G5" s="89">
        <f>SUMPRODUCT((ChatGPT_CoT!AG3:AK32=Avaliacao_Humana!AG3:AK32)*1)/150</f>
        <v>0.5133333333</v>
      </c>
      <c r="H5" s="90">
        <f t="shared" si="1"/>
        <v>0.8666666667</v>
      </c>
      <c r="I5" s="91">
        <f t="shared" si="2"/>
        <v>0.1333333333</v>
      </c>
    </row>
    <row r="6" ht="19.5" customHeight="1">
      <c r="A6" s="54" t="s">
        <v>125</v>
      </c>
      <c r="B6" s="84">
        <f>SUMPRODUCT((Gemini_ZeroShot!C3:G32=Avaliacao_Humana!C3:G32)*1)/150</f>
        <v>0.96</v>
      </c>
      <c r="C6" s="85">
        <f>SUMPRODUCT((Gemini_ZeroShot!I3:M32=Avaliacao_Humana!I3:M32)*1)/150</f>
        <v>0.9333333333</v>
      </c>
      <c r="D6" s="86">
        <f>SUMPRODUCT((Gemini_ZeroShot!O3:S32=Avaliacao_Humana!O3:S32)*1)/150</f>
        <v>0.9266666667</v>
      </c>
      <c r="E6" s="87">
        <f>SUMPRODUCT((Gemini_ZeroShot!U3:Y32=Avaliacao_Humana!U3:Y32)*1)/150</f>
        <v>0.8933333333</v>
      </c>
      <c r="F6" s="88">
        <f>SUMPRODUCT((Gemini_ZeroShot!AA3:AE32=Avaliacao_Humana!AA3:AE32)*1)/150</f>
        <v>0.96</v>
      </c>
      <c r="G6" s="89">
        <f>SUMPRODUCT((Gemini_ZeroShot!AG3:AK32=Avaliacao_Humana!AG3:AK32)*1)/150</f>
        <v>0.56</v>
      </c>
      <c r="H6" s="90">
        <f t="shared" si="1"/>
        <v>0.8722222222</v>
      </c>
      <c r="I6" s="91">
        <f t="shared" si="2"/>
        <v>0.1277777778</v>
      </c>
    </row>
    <row r="7" ht="19.5" customHeight="1">
      <c r="A7" s="58" t="s">
        <v>126</v>
      </c>
      <c r="B7" s="84">
        <f>SUMPRODUCT((Gemini_FewShot!C3:G32=Avaliacao_Humana!C3:G32)*1)/150</f>
        <v>0.96</v>
      </c>
      <c r="C7" s="85">
        <f>SUMPRODUCT((Gemini_FewShot!I3:M32=Avaliacao_Humana!I3:M32)*1)/150</f>
        <v>0.9333333333</v>
      </c>
      <c r="D7" s="86">
        <f>SUMPRODUCT((Gemini_FewShot!O3:S32=Avaliacao_Humana!O3:S32)*1)/150</f>
        <v>0.9</v>
      </c>
      <c r="E7" s="87">
        <f>SUMPRODUCT((Gemini_FewShot!U3:Y32=Avaliacao_Humana!U3:Y32)*1)/150</f>
        <v>0.8733333333</v>
      </c>
      <c r="F7" s="88">
        <f>SUMPRODUCT((Gemini_FewShot!AA3:AE32=Avaliacao_Humana!AA3:AE32)*1)/150</f>
        <v>0.9666666667</v>
      </c>
      <c r="G7" s="89">
        <f>SUMPRODUCT((Gemini_FewShot!AG3:AK32=Avaliacao_Humana!AG3:AK32)*1)/150</f>
        <v>0.54</v>
      </c>
      <c r="H7" s="90">
        <f t="shared" si="1"/>
        <v>0.8622222222</v>
      </c>
      <c r="I7" s="91">
        <f t="shared" si="2"/>
        <v>0.1377777778</v>
      </c>
    </row>
    <row r="8" ht="19.5" customHeight="1">
      <c r="A8" s="54" t="s">
        <v>127</v>
      </c>
      <c r="B8" s="84">
        <f>SUMPRODUCT((Gemini_CoT!C3:G32=Avaliacao_Humana!C3:G32)*1)/150</f>
        <v>0.96</v>
      </c>
      <c r="C8" s="85">
        <f>SUMPRODUCT((Gemini_CoT!I3:M32=Avaliacao_Humana!I3:M32)*1)/150</f>
        <v>0.9266666667</v>
      </c>
      <c r="D8" s="86">
        <f>SUMPRODUCT((Gemini_CoT!O3:S32=Avaliacao_Humana!O3:S32)*1)/150</f>
        <v>0.9266666667</v>
      </c>
      <c r="E8" s="87">
        <f>SUMPRODUCT((Gemini_CoT!U3:Y32=Avaliacao_Humana!U3:Y32)*1)/150</f>
        <v>0.8933333333</v>
      </c>
      <c r="F8" s="88">
        <f>SUMPRODUCT((Gemini_CoT!AA3:AE32=Avaliacao_Humana!AA3:AE32)*1)/150</f>
        <v>0.96</v>
      </c>
      <c r="G8" s="89">
        <f>SUMPRODUCT((Gemini_CoT!AG3:AK32=Avaliacao_Humana!AG3:AK32)*1)/150</f>
        <v>0.56</v>
      </c>
      <c r="H8" s="90">
        <f t="shared" si="1"/>
        <v>0.8711111111</v>
      </c>
      <c r="I8" s="91">
        <f t="shared" si="2"/>
        <v>0.1288888889</v>
      </c>
    </row>
    <row r="9" ht="19.5" customHeight="1">
      <c r="A9" s="58" t="s">
        <v>128</v>
      </c>
      <c r="B9" s="84">
        <f>SUMPRODUCT((Claude_ZeroShot!C3:G32=Avaliacao_Humana!C3:G32)*1)/150</f>
        <v>0.96</v>
      </c>
      <c r="C9" s="85">
        <f>SUMPRODUCT((Claude_ZeroShot!I3:M32=Avaliacao_Humana!I3:M32)*1)/150</f>
        <v>0.9333333333</v>
      </c>
      <c r="D9" s="86">
        <f>SUMPRODUCT((Claude_ZeroShot!O3:S32=Avaliacao_Humana!O3:S32)*1)/150</f>
        <v>0.9</v>
      </c>
      <c r="E9" s="87">
        <f>SUMPRODUCT((Claude_ZeroShot!U3:Y32=Avaliacao_Humana!U3:Y32)*1)/150</f>
        <v>0.8266666667</v>
      </c>
      <c r="F9" s="88">
        <f>SUMPRODUCT((Claude_ZeroShot!AA3:AE32=Avaliacao_Humana!AA3:AE32)*1)/150</f>
        <v>0.96</v>
      </c>
      <c r="G9" s="89">
        <f>SUMPRODUCT((Claude_ZeroShot!AG3:AK32=Avaliacao_Humana!AG3:AK32)*1)/150</f>
        <v>0.64</v>
      </c>
      <c r="H9" s="90">
        <f t="shared" si="1"/>
        <v>0.87</v>
      </c>
      <c r="I9" s="91">
        <f t="shared" si="2"/>
        <v>0.13</v>
      </c>
    </row>
    <row r="10" ht="19.5" customHeight="1">
      <c r="A10" s="54" t="s">
        <v>129</v>
      </c>
      <c r="B10" s="84">
        <f>SUMPRODUCT((Claude_FewShot!C3:G32=Avaliacao_Humana!C3:G32)*1)/150</f>
        <v>0.9666666667</v>
      </c>
      <c r="C10" s="85">
        <f>SUMPRODUCT((Claude_FewShot!I3:M32=Avaliacao_Humana!I3:M32)*1)/150</f>
        <v>0.9333333333</v>
      </c>
      <c r="D10" s="86">
        <f>SUMPRODUCT((Claude_FewShot!O3:S32=Avaliacao_Humana!O3:S32)*1)/150</f>
        <v>0.9266666667</v>
      </c>
      <c r="E10" s="87">
        <f>SUMPRODUCT((Claude_FewShot!U3:Y32=Avaliacao_Humana!U3:Y32)*1)/150</f>
        <v>0.8866666667</v>
      </c>
      <c r="F10" s="88">
        <f>SUMPRODUCT((Claude_FewShot!AA3:AE32=Avaliacao_Humana!AA3:AE32)*1)/150</f>
        <v>0.96</v>
      </c>
      <c r="G10" s="89">
        <f>SUMPRODUCT((Claude_FewShot!AG3:AK32=Avaliacao_Humana!AG3:AK32)*1)/150</f>
        <v>0.5733333333</v>
      </c>
      <c r="H10" s="90">
        <f t="shared" si="1"/>
        <v>0.8744444444</v>
      </c>
      <c r="I10" s="91">
        <f t="shared" si="2"/>
        <v>0.1255555556</v>
      </c>
    </row>
    <row r="11" ht="19.5" customHeight="1">
      <c r="A11" s="58" t="s">
        <v>130</v>
      </c>
      <c r="B11" s="84">
        <f>SUMPRODUCT((Claude_CoT!C3:G32=Avaliacao_Humana!C3:G32)*1)/150</f>
        <v>0.9666666667</v>
      </c>
      <c r="C11" s="85">
        <f>SUMPRODUCT((Claude_CoT!I3:M32=Avaliacao_Humana!I3:M32)*1)/150</f>
        <v>0.94</v>
      </c>
      <c r="D11" s="86">
        <f>SUMPRODUCT((Claude_CoT!O3:S32=Avaliacao_Humana!O3:S32)*1)/150</f>
        <v>0.92</v>
      </c>
      <c r="E11" s="87">
        <f>SUMPRODUCT((Claude_CoT!U3:Y32=Avaliacao_Humana!U3:Y32)*1)/150</f>
        <v>0.88</v>
      </c>
      <c r="F11" s="88">
        <f>SUMPRODUCT((Claude_CoT!AA3:AE32=Avaliacao_Humana!AA3:AE32)*1)/150</f>
        <v>0.96</v>
      </c>
      <c r="G11" s="89">
        <f>SUMPRODUCT((Claude_CoT!AG3:AK32=Avaliacao_Humana!AG3:AK32)*1)/150</f>
        <v>0.64</v>
      </c>
      <c r="H11" s="90">
        <f t="shared" si="1"/>
        <v>0.8844444444</v>
      </c>
      <c r="I11" s="91">
        <f t="shared" si="2"/>
        <v>0.1155555556</v>
      </c>
    </row>
    <row r="12">
      <c r="A12" s="36"/>
      <c r="B12" s="36"/>
      <c r="C12" s="36"/>
      <c r="D12" s="36"/>
      <c r="E12" s="36"/>
      <c r="F12" s="36"/>
      <c r="G12" s="36"/>
      <c r="H12" s="36"/>
      <c r="I12" s="36"/>
    </row>
    <row r="13" ht="15.75" customHeight="1">
      <c r="A13" s="36"/>
      <c r="B13" s="36"/>
      <c r="C13" s="36"/>
      <c r="D13" s="36"/>
      <c r="E13" s="36"/>
      <c r="F13" s="36"/>
      <c r="G13" s="36"/>
      <c r="H13" s="36"/>
      <c r="I13" s="36"/>
    </row>
    <row r="14" ht="21.75" customHeight="1">
      <c r="A14" s="92" t="s">
        <v>202</v>
      </c>
      <c r="B14" s="2"/>
      <c r="C14" s="2"/>
      <c r="D14" s="2"/>
      <c r="E14" s="2"/>
      <c r="F14" s="2"/>
      <c r="G14" s="2"/>
      <c r="H14" s="2"/>
      <c r="I14" s="3"/>
    </row>
    <row r="15" ht="25.5" customHeight="1">
      <c r="A15" s="38" t="s">
        <v>203</v>
      </c>
      <c r="B15" s="39" t="s">
        <v>133</v>
      </c>
      <c r="C15" s="40" t="s">
        <v>134</v>
      </c>
      <c r="D15" s="41" t="s">
        <v>135</v>
      </c>
      <c r="E15" s="42" t="s">
        <v>136</v>
      </c>
      <c r="F15" s="43" t="s">
        <v>137</v>
      </c>
      <c r="G15" s="44" t="s">
        <v>138</v>
      </c>
      <c r="H15" s="45" t="s">
        <v>200</v>
      </c>
      <c r="I15" s="83" t="s">
        <v>204</v>
      </c>
    </row>
    <row r="16" ht="19.5" customHeight="1">
      <c r="A16" s="63" t="s">
        <v>205</v>
      </c>
      <c r="B16" s="93">
        <f t="shared" ref="B16:H16" si="3">AVERAGE(B3,B4,B5)</f>
        <v>0.9644444444</v>
      </c>
      <c r="C16" s="93">
        <f t="shared" si="3"/>
        <v>0.9244444444</v>
      </c>
      <c r="D16" s="93">
        <f t="shared" si="3"/>
        <v>0.9266666667</v>
      </c>
      <c r="E16" s="93">
        <f t="shared" si="3"/>
        <v>0.8866666667</v>
      </c>
      <c r="F16" s="93">
        <f t="shared" si="3"/>
        <v>0.9688888889</v>
      </c>
      <c r="G16" s="93">
        <f t="shared" si="3"/>
        <v>0.6022222222</v>
      </c>
      <c r="H16" s="94">
        <f t="shared" si="3"/>
        <v>0.8788888889</v>
      </c>
      <c r="I16" s="95">
        <f t="shared" ref="I16:I18" si="5">1-H16</f>
        <v>0.1211111111</v>
      </c>
    </row>
    <row r="17" ht="19.5" customHeight="1">
      <c r="A17" s="66" t="s">
        <v>206</v>
      </c>
      <c r="B17" s="96">
        <f t="shared" ref="B17:H17" si="4">AVERAGE(B6,B7,B8)</f>
        <v>0.96</v>
      </c>
      <c r="C17" s="96">
        <f t="shared" si="4"/>
        <v>0.9311111111</v>
      </c>
      <c r="D17" s="96">
        <f t="shared" si="4"/>
        <v>0.9177777778</v>
      </c>
      <c r="E17" s="96">
        <f t="shared" si="4"/>
        <v>0.8866666667</v>
      </c>
      <c r="F17" s="96">
        <f t="shared" si="4"/>
        <v>0.9622222222</v>
      </c>
      <c r="G17" s="96">
        <f t="shared" si="4"/>
        <v>0.5533333333</v>
      </c>
      <c r="H17" s="94">
        <f t="shared" si="4"/>
        <v>0.8685185185</v>
      </c>
      <c r="I17" s="95">
        <f t="shared" si="5"/>
        <v>0.1314814815</v>
      </c>
    </row>
    <row r="18" ht="19.5" customHeight="1">
      <c r="A18" s="63" t="s">
        <v>207</v>
      </c>
      <c r="B18" s="93">
        <f t="shared" ref="B18:H18" si="6">AVERAGE(B9,B10,B11)</f>
        <v>0.9644444444</v>
      </c>
      <c r="C18" s="93">
        <f t="shared" si="6"/>
        <v>0.9355555556</v>
      </c>
      <c r="D18" s="93">
        <f t="shared" si="6"/>
        <v>0.9155555556</v>
      </c>
      <c r="E18" s="93">
        <f t="shared" si="6"/>
        <v>0.8644444444</v>
      </c>
      <c r="F18" s="93">
        <f t="shared" si="6"/>
        <v>0.96</v>
      </c>
      <c r="G18" s="93">
        <f t="shared" si="6"/>
        <v>0.6177777778</v>
      </c>
      <c r="H18" s="94">
        <f t="shared" si="6"/>
        <v>0.8762962963</v>
      </c>
      <c r="I18" s="95">
        <f t="shared" si="5"/>
        <v>0.1237037037</v>
      </c>
    </row>
    <row r="19">
      <c r="A19" s="36"/>
      <c r="B19" s="36"/>
      <c r="C19" s="36"/>
      <c r="D19" s="36"/>
      <c r="E19" s="36"/>
      <c r="F19" s="36"/>
      <c r="G19" s="36"/>
      <c r="H19" s="36"/>
      <c r="I19" s="36"/>
    </row>
    <row r="20">
      <c r="A20" s="36"/>
      <c r="B20" s="36"/>
      <c r="C20" s="36"/>
      <c r="D20" s="36"/>
      <c r="E20" s="36"/>
      <c r="F20" s="36"/>
      <c r="G20" s="36"/>
      <c r="H20" s="36"/>
      <c r="I20" s="36"/>
    </row>
    <row r="21" ht="15.75" customHeight="1">
      <c r="A21" s="36"/>
      <c r="B21" s="36"/>
      <c r="C21" s="36"/>
      <c r="D21" s="36"/>
      <c r="E21" s="36"/>
      <c r="F21" s="36"/>
      <c r="G21" s="36"/>
      <c r="H21" s="36"/>
      <c r="I21" s="36"/>
    </row>
    <row r="22" ht="15.75" customHeight="1">
      <c r="A22" s="36"/>
      <c r="B22" s="36"/>
      <c r="C22" s="36"/>
      <c r="D22" s="36"/>
      <c r="E22" s="36"/>
      <c r="F22" s="36"/>
      <c r="G22" s="36"/>
      <c r="H22" s="36"/>
      <c r="I22" s="36"/>
    </row>
    <row r="23" ht="15.75" customHeight="1">
      <c r="A23" s="36"/>
      <c r="B23" s="36"/>
      <c r="C23" s="36"/>
      <c r="D23" s="36"/>
      <c r="E23" s="36"/>
      <c r="F23" s="36"/>
      <c r="G23" s="36"/>
      <c r="H23" s="36"/>
      <c r="I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</row>
  </sheetData>
  <mergeCells count="2">
    <mergeCell ref="A1:I1"/>
    <mergeCell ref="A14:I14"/>
  </mergeCells>
  <printOptions/>
  <pageMargins bottom="1.0" footer="0.0" header="0.0" left="0.75" right="0.75" top="1.0"/>
  <pageSetup paperSize="9" orientation="portrait"/>
  <drawing r:id="rId1"/>
</worksheet>
</file>